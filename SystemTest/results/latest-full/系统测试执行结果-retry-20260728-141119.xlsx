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20055" tabRatio="600" firstSheet="0" activeTab="0" autoFilterDateGrouping="1"/>
  </bookViews>
  <sheets>
    <sheet xmlns:r="http://schemas.openxmlformats.org/officeDocument/2006/relationships" name="Information" sheetId="1" state="visible" r:id="rId1"/>
    <sheet xmlns:r="http://schemas.openxmlformats.org/officeDocument/2006/relationships" name="Test Cases" sheetId="2" state="visible" r:id="rId2"/>
    <sheet xmlns:r="http://schemas.openxmlformats.org/officeDocument/2006/relationships" name="常用测试方法" sheetId="3" state="visible" r:id="rId3"/>
  </sheets>
  <definedNames/>
  <calcPr calcId="191029" fullCalcOnLoad="1"/>
</workbook>
</file>

<file path=xl/styles.xml><?xml version="1.0" encoding="utf-8"?>
<styleSheet xmlns="http://schemas.openxmlformats.org/spreadsheetml/2006/main">
  <numFmts count="0"/>
  <fonts count="27">
    <font>
      <name val="宋体"/>
      <charset val="134"/>
      <color theme="1"/>
      <sz val="11"/>
      <scheme val="minor"/>
    </font>
    <font>
      <name val="宋体"/>
      <charset val="134"/>
      <b val="1"/>
      <sz val="10"/>
    </font>
    <font>
      <name val="宋体"/>
      <charset val="134"/>
      <sz val="10"/>
    </font>
    <font>
      <name val="Times New Roman"/>
      <charset val="134"/>
      <sz val="10"/>
    </font>
    <font>
      <name val="宋体"/>
      <charset val="134"/>
      <color theme="1"/>
      <sz val="14"/>
      <scheme val="minor"/>
    </font>
    <font>
      <name val="宋体"/>
      <charset val="134"/>
      <b val="1"/>
      <sz val="14"/>
    </font>
    <font>
      <name val="宋体"/>
      <charset val="134"/>
      <color theme="1"/>
      <sz val="16"/>
      <scheme val="minor"/>
    </font>
    <font>
      <name val="宋体"/>
      <charset val="0"/>
      <color rgb="FF800080"/>
      <sz val="11"/>
      <u val="single"/>
      <scheme val="minor"/>
    </font>
    <font>
      <name val="宋体"/>
      <charset val="134"/>
      <color theme="1"/>
      <sz val="11"/>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D9E2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8" fillId="0" borderId="0"/>
    <xf numFmtId="43" fontId="8" fillId="0" borderId="0" applyAlignment="1">
      <alignment vertical="center"/>
    </xf>
    <xf numFmtId="44" fontId="8" fillId="0" borderId="0" applyAlignment="1">
      <alignment vertical="center"/>
    </xf>
    <xf numFmtId="9" fontId="8" fillId="0" borderId="0" applyAlignment="1">
      <alignment vertical="center"/>
    </xf>
    <xf numFmtId="41" fontId="8" fillId="0" borderId="0" applyAlignment="1">
      <alignment vertical="center"/>
    </xf>
    <xf numFmtId="42" fontId="8" fillId="0" borderId="0" applyAlignment="1">
      <alignment vertical="center"/>
    </xf>
    <xf numFmtId="0" fontId="9" fillId="0" borderId="0" applyAlignment="1">
      <alignment vertical="center"/>
    </xf>
    <xf numFmtId="0" fontId="7" fillId="0" borderId="0" applyAlignment="1">
      <alignment vertical="center"/>
    </xf>
    <xf numFmtId="0" fontId="8" fillId="3" borderId="16"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17" applyAlignment="1">
      <alignment vertical="center"/>
    </xf>
    <xf numFmtId="0" fontId="14" fillId="0" borderId="17" applyAlignment="1">
      <alignment vertical="center"/>
    </xf>
    <xf numFmtId="0" fontId="15" fillId="0" borderId="18" applyAlignment="1">
      <alignment vertical="center"/>
    </xf>
    <xf numFmtId="0" fontId="15" fillId="0" borderId="0" applyAlignment="1">
      <alignment vertical="center"/>
    </xf>
    <xf numFmtId="0" fontId="16" fillId="4" borderId="19" applyAlignment="1">
      <alignment vertical="center"/>
    </xf>
    <xf numFmtId="0" fontId="17" fillId="5" borderId="20" applyAlignment="1">
      <alignment vertical="center"/>
    </xf>
    <xf numFmtId="0" fontId="18" fillId="5" borderId="19" applyAlignment="1">
      <alignment vertical="center"/>
    </xf>
    <xf numFmtId="0" fontId="19" fillId="6" borderId="21" applyAlignment="1">
      <alignment vertical="center"/>
    </xf>
    <xf numFmtId="0" fontId="20" fillId="0" borderId="22" applyAlignment="1">
      <alignment vertical="center"/>
    </xf>
    <xf numFmtId="0" fontId="21" fillId="0" borderId="23" applyAlignment="1">
      <alignment vertical="center"/>
    </xf>
    <xf numFmtId="0" fontId="22" fillId="7" borderId="0" applyAlignment="1">
      <alignment vertical="center"/>
    </xf>
    <xf numFmtId="0" fontId="23" fillId="8" borderId="0" applyAlignment="1">
      <alignment vertical="center"/>
    </xf>
    <xf numFmtId="0" fontId="24" fillId="9" borderId="0" applyAlignment="1">
      <alignment vertical="center"/>
    </xf>
    <xf numFmtId="0" fontId="25" fillId="10" borderId="0" applyAlignment="1">
      <alignment vertical="center"/>
    </xf>
    <xf numFmtId="0" fontId="26" fillId="11" borderId="0" applyAlignment="1">
      <alignment vertical="center"/>
    </xf>
    <xf numFmtId="0" fontId="26" fillId="12" borderId="0" applyAlignment="1">
      <alignment vertical="center"/>
    </xf>
    <xf numFmtId="0" fontId="25" fillId="13" borderId="0" applyAlignment="1">
      <alignment vertical="center"/>
    </xf>
    <xf numFmtId="0" fontId="25" fillId="14" borderId="0" applyAlignment="1">
      <alignment vertical="center"/>
    </xf>
    <xf numFmtId="0" fontId="26" fillId="15" borderId="0" applyAlignment="1">
      <alignment vertical="center"/>
    </xf>
    <xf numFmtId="0" fontId="26" fillId="16" borderId="0" applyAlignment="1">
      <alignment vertical="center"/>
    </xf>
    <xf numFmtId="0" fontId="25" fillId="17" borderId="0" applyAlignment="1">
      <alignment vertical="center"/>
    </xf>
    <xf numFmtId="0" fontId="25" fillId="18" borderId="0" applyAlignment="1">
      <alignment vertical="center"/>
    </xf>
    <xf numFmtId="0" fontId="26" fillId="19" borderId="0" applyAlignment="1">
      <alignment vertical="center"/>
    </xf>
    <xf numFmtId="0" fontId="26" fillId="20" borderId="0" applyAlignment="1">
      <alignment vertical="center"/>
    </xf>
    <xf numFmtId="0" fontId="25" fillId="21" borderId="0" applyAlignment="1">
      <alignment vertical="center"/>
    </xf>
    <xf numFmtId="0" fontId="25" fillId="22" borderId="0" applyAlignment="1">
      <alignment vertical="center"/>
    </xf>
    <xf numFmtId="0" fontId="26" fillId="23" borderId="0" applyAlignment="1">
      <alignment vertical="center"/>
    </xf>
    <xf numFmtId="0" fontId="26" fillId="24" borderId="0" applyAlignment="1">
      <alignment vertical="center"/>
    </xf>
    <xf numFmtId="0" fontId="25" fillId="25" borderId="0" applyAlignment="1">
      <alignment vertical="center"/>
    </xf>
    <xf numFmtId="0" fontId="25" fillId="26" borderId="0" applyAlignment="1">
      <alignment vertical="center"/>
    </xf>
    <xf numFmtId="0" fontId="26" fillId="27" borderId="0" applyAlignment="1">
      <alignment vertical="center"/>
    </xf>
    <xf numFmtId="0" fontId="26" fillId="28" borderId="0" applyAlignment="1">
      <alignment vertical="center"/>
    </xf>
    <xf numFmtId="0" fontId="25" fillId="29" borderId="0" applyAlignment="1">
      <alignment vertical="center"/>
    </xf>
    <xf numFmtId="0" fontId="25" fillId="30" borderId="0" applyAlignment="1">
      <alignment vertical="center"/>
    </xf>
    <xf numFmtId="0" fontId="26" fillId="31" borderId="0" applyAlignment="1">
      <alignment vertical="center"/>
    </xf>
    <xf numFmtId="0" fontId="26" fillId="32" borderId="0" applyAlignment="1">
      <alignment vertical="center"/>
    </xf>
    <xf numFmtId="0" fontId="25" fillId="33" borderId="0" applyAlignment="1">
      <alignment vertical="center"/>
    </xf>
  </cellStyleXfs>
  <cellXfs count="57">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center" wrapText="1"/>
    </xf>
    <xf numFmtId="0" fontId="1" fillId="2"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0" fontId="4" fillId="0" borderId="2" applyAlignment="1" pivotButton="0" quotePrefix="0" xfId="0">
      <alignment horizontal="center" vertical="center"/>
    </xf>
    <xf numFmtId="0" fontId="4" fillId="0" borderId="3" applyAlignment="1" pivotButton="0" quotePrefix="0" xfId="0">
      <alignment horizontal="center" vertical="center"/>
    </xf>
    <xf numFmtId="0" fontId="4" fillId="0" borderId="4" applyAlignment="1" pivotButton="0" quotePrefix="0" xfId="0">
      <alignment horizontal="center" vertic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7" applyAlignment="1" pivotButton="0" quotePrefix="0" xfId="0">
      <alignment horizontal="center"/>
    </xf>
    <xf numFmtId="0" fontId="0" fillId="0" borderId="8" applyAlignment="1" pivotButton="0" quotePrefix="0" xfId="0">
      <alignment horizontal="center"/>
    </xf>
    <xf numFmtId="0" fontId="0" fillId="0" borderId="9" applyAlignment="1" pivotButton="0" quotePrefix="0" xfId="0">
      <alignment horizontal="center"/>
    </xf>
    <xf numFmtId="0" fontId="0" fillId="0" borderId="10" applyAlignment="1" pivotButton="0" quotePrefix="0" xfId="0">
      <alignment horizontal="center"/>
    </xf>
    <xf numFmtId="0" fontId="0" fillId="0" borderId="5" applyAlignment="1" pivotButton="0" quotePrefix="0" xfId="0">
      <alignment horizontal="center" vertical="center"/>
    </xf>
    <xf numFmtId="0" fontId="0" fillId="0" borderId="7" applyAlignment="1" pivotButton="0" quotePrefix="0" xfId="0">
      <alignment horizontal="center" vertical="center"/>
    </xf>
    <xf numFmtId="0" fontId="0" fillId="0" borderId="1" applyAlignment="1" pivotButton="0" quotePrefix="0" xfId="0">
      <alignment horizontal="center" vertical="center"/>
    </xf>
    <xf numFmtId="0" fontId="0" fillId="0" borderId="8" applyAlignment="1" pivotButton="0" quotePrefix="0" xfId="0">
      <alignment horizontal="center" vertical="center"/>
    </xf>
    <xf numFmtId="0" fontId="0" fillId="0" borderId="10" applyAlignment="1" pivotButton="0" quotePrefix="0" xfId="0">
      <alignment horizontal="center" vertical="center"/>
    </xf>
    <xf numFmtId="0" fontId="0" fillId="0" borderId="11" applyAlignment="1" pivotButton="0" quotePrefix="0" xfId="0">
      <alignment horizontal="center" vertical="center"/>
    </xf>
    <xf numFmtId="0" fontId="5" fillId="0" borderId="12" applyAlignment="1" pivotButton="0" quotePrefix="0" xfId="0">
      <alignment horizontal="center" wrapText="1"/>
    </xf>
    <xf numFmtId="0" fontId="5" fillId="0" borderId="0" applyAlignment="1" pivotButton="0" quotePrefix="0" xfId="0">
      <alignment horizontal="center" wrapText="1"/>
    </xf>
    <xf numFmtId="0" fontId="5" fillId="0" borderId="13" applyAlignment="1" pivotButton="0" quotePrefix="0" xfId="0">
      <alignment horizontal="center" wrapText="1"/>
    </xf>
    <xf numFmtId="0" fontId="0" fillId="0" borderId="1" applyAlignment="1" pivotButton="0" quotePrefix="0" xfId="0">
      <alignment vertical="center"/>
    </xf>
    <xf numFmtId="0" fontId="0" fillId="0" borderId="6" applyAlignment="1" pivotButton="0" quotePrefix="0" xfId="0">
      <alignment horizontal="center" vertical="center"/>
    </xf>
    <xf numFmtId="0" fontId="4" fillId="0" borderId="5" applyAlignment="1" pivotButton="0" quotePrefix="0" xfId="0">
      <alignment horizontal="center" vertical="top"/>
    </xf>
    <xf numFmtId="0" fontId="4" fillId="0" borderId="6" applyAlignment="1" pivotButton="0" quotePrefix="0" xfId="0">
      <alignment horizontal="center" vertical="top"/>
    </xf>
    <xf numFmtId="0" fontId="4" fillId="0" borderId="7" applyAlignment="1" pivotButton="0" quotePrefix="0" xfId="0">
      <alignment horizontal="center" vertical="top"/>
    </xf>
    <xf numFmtId="0" fontId="0" fillId="0" borderId="2" applyAlignment="1" pivotButton="0" quotePrefix="0" xfId="0">
      <alignment horizontal="center"/>
    </xf>
    <xf numFmtId="0" fontId="0" fillId="0" borderId="4" applyAlignment="1" pivotButton="0" quotePrefix="0" xfId="0">
      <alignment horizontal="center"/>
    </xf>
    <xf numFmtId="0" fontId="0" fillId="0" borderId="14" applyAlignment="1" pivotButton="0" quotePrefix="0" xfId="0">
      <alignment horizontal="center"/>
    </xf>
    <xf numFmtId="0" fontId="0" fillId="0" borderId="13" applyAlignment="1" pivotButton="0" quotePrefix="0" xfId="0">
      <alignment horizontal="center"/>
    </xf>
    <xf numFmtId="0" fontId="0" fillId="0" borderId="12" applyAlignment="1" pivotButton="0" quotePrefix="0" xfId="0">
      <alignment horizontal="center"/>
    </xf>
    <xf numFmtId="0" fontId="0" fillId="0" borderId="15" applyAlignment="1" pivotButton="0" quotePrefix="0" xfId="0">
      <alignment horizontal="center"/>
    </xf>
    <xf numFmtId="0" fontId="0" fillId="0" borderId="15" pivotButton="0" quotePrefix="0" xfId="0"/>
    <xf numFmtId="0" fontId="0" fillId="0" borderId="13" pivotButton="0" quotePrefix="0" xfId="0"/>
    <xf numFmtId="0" fontId="0" fillId="0" borderId="11" applyAlignment="1" pivotButton="0" quotePrefix="0" xfId="0">
      <alignment horizontal="center"/>
    </xf>
    <xf numFmtId="0" fontId="0" fillId="0" borderId="11" pivotButton="0" quotePrefix="0" xfId="0"/>
    <xf numFmtId="0" fontId="6" fillId="0" borderId="5" applyAlignment="1" pivotButton="0" quotePrefix="0" xfId="0">
      <alignment horizontal="center"/>
    </xf>
    <xf numFmtId="0" fontId="6" fillId="0" borderId="6" applyAlignment="1" pivotButton="0" quotePrefix="0" xfId="0">
      <alignment horizontal="center"/>
    </xf>
    <xf numFmtId="0" fontId="6" fillId="0" borderId="7" applyAlignment="1" pivotButton="0" quotePrefix="0" xfId="0">
      <alignment horizontal="center"/>
    </xf>
    <xf numFmtId="0" fontId="0" fillId="0" borderId="2" pivotButton="0" quotePrefix="0" xfId="0"/>
    <xf numFmtId="0" fontId="0" fillId="0" borderId="4" pivotButton="0" quotePrefix="0" xfId="0"/>
    <xf numFmtId="0" fontId="0" fillId="0" borderId="14" pivotButton="0" quotePrefix="0" xfId="0"/>
    <xf numFmtId="0" fontId="0" fillId="0" borderId="12" pivotButton="0" quotePrefix="0" xfId="0"/>
    <xf numFmtId="0" fontId="7" fillId="0" borderId="8" pivotButton="0" quotePrefix="0" xfId="6"/>
    <xf numFmtId="0" fontId="0" fillId="0" borderId="9" pivotButton="0" quotePrefix="0" xfId="0"/>
    <xf numFmtId="0" fontId="0" fillId="0" borderId="10" pivotButton="0" quotePrefix="0" xfId="0"/>
    <xf numFmtId="0" fontId="4" fillId="0" borderId="14" applyAlignment="1" pivotButton="0" quotePrefix="0" xfId="0">
      <alignment horizontal="center" vertical="center"/>
    </xf>
    <xf numFmtId="0" fontId="0" fillId="0" borderId="3" pivotButton="0" quotePrefix="0" xfId="0"/>
    <xf numFmtId="0" fontId="0" fillId="0" borderId="1" applyAlignment="1" pivotButton="0" quotePrefix="0" xfId="0">
      <alignment horizontal="center"/>
    </xf>
    <xf numFmtId="0" fontId="0" fillId="0" borderId="6" pivotButton="0" quotePrefix="0" xfId="0"/>
    <xf numFmtId="0" fontId="0" fillId="0" borderId="7" pivotButton="0" quotePrefix="0" xfId="0"/>
    <xf numFmtId="0" fontId="5" fillId="0" borderId="15" applyAlignment="1" pivotButton="0" quotePrefix="0" xfId="0">
      <alignment horizontal="center" wrapText="1"/>
    </xf>
    <xf numFmtId="0" fontId="4" fillId="0" borderId="1" applyAlignment="1" pivotButton="0" quotePrefix="0" xfId="0">
      <alignment horizontal="center" vertical="top"/>
    </xf>
    <xf numFmtId="0" fontId="6" fillId="0" borderId="1" applyAlignment="1" pivotButton="0" quotePrefix="0" xfId="0">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1:F29"/>
  <sheetViews>
    <sheetView tabSelected="1" zoomScale="160" zoomScaleNormal="160" workbookViewId="0">
      <selection activeCell="E17" sqref="E17"/>
    </sheetView>
  </sheetViews>
  <sheetFormatPr baseColWidth="8" defaultColWidth="9" defaultRowHeight="13.5"/>
  <cols>
    <col width="4" customWidth="1" min="1" max="1"/>
    <col width="28" customWidth="1" min="2" max="2"/>
    <col width="12" customWidth="1" min="3" max="3"/>
    <col width="23.1166666666667" customWidth="1" min="4" max="4"/>
    <col width="40.7833333333333" customWidth="1" min="5" max="5"/>
    <col width="24.2916666666667" customWidth="1" min="6" max="6"/>
  </cols>
  <sheetData>
    <row r="1" ht="48" customHeight="1">
      <c r="B1" s="49" t="inlineStr">
        <is>
          <t>Shanghai Jiao Tong University
上海交通大学
上海市闵行区东川路800号</t>
        </is>
      </c>
      <c r="C1" s="50" t="n"/>
      <c r="D1" s="50" t="n"/>
      <c r="E1" s="50" t="n"/>
      <c r="F1" s="43" t="n"/>
    </row>
    <row r="2">
      <c r="B2" s="51" t="inlineStr">
        <is>
          <t>项目名称
Project Name</t>
        </is>
      </c>
      <c r="C2" s="52" t="n"/>
      <c r="D2" s="53" t="n"/>
      <c r="E2" s="51" t="inlineStr">
        <is>
          <t>密级
Confidentiality Level</t>
        </is>
      </c>
      <c r="F2" s="53" t="n"/>
    </row>
    <row r="3">
      <c r="B3" s="37" t="inlineStr">
        <is>
          <t>PaperMate 智能论文阅读系统</t>
        </is>
      </c>
      <c r="C3" s="47" t="n"/>
      <c r="D3" s="48" t="n"/>
      <c r="E3" s="37" t="inlineStr">
        <is>
          <t>仅供收件方查阅</t>
        </is>
      </c>
      <c r="F3" s="48" t="n"/>
    </row>
    <row r="4" ht="17" customHeight="1">
      <c r="B4" s="17" t="inlineStr">
        <is>
          <t>项目编号
Project ID</t>
        </is>
      </c>
      <c r="C4" s="53" t="n"/>
      <c r="D4" s="17" t="inlineStr">
        <is>
          <t>版本
version</t>
        </is>
      </c>
      <c r="E4" s="17" t="inlineStr">
        <is>
          <t>文档编号
Document Code</t>
        </is>
      </c>
      <c r="F4" s="53" t="n"/>
    </row>
    <row r="5" ht="20" customHeight="1">
      <c r="B5" s="20" t="inlineStr">
        <is>
          <t>SE26Project-04</t>
        </is>
      </c>
      <c r="C5" s="48" t="n"/>
      <c r="D5" s="20" t="inlineStr">
        <is>
          <t>1.0</t>
        </is>
      </c>
      <c r="E5" s="20" t="inlineStr">
        <is>
          <t>SE26Project-04_STC_001</t>
        </is>
      </c>
      <c r="F5" s="48" t="n"/>
    </row>
    <row r="6" ht="36" customHeight="1">
      <c r="B6" s="54" t="inlineStr">
        <is>
          <t>PaperMate System Test Case Form
PaperMate系统测试用例</t>
        </is>
      </c>
      <c r="F6" s="36" t="n"/>
    </row>
    <row r="7" ht="22" customHeight="1">
      <c r="B7" s="24" t="inlineStr">
        <is>
          <t>Prepared by
拟制</t>
        </is>
      </c>
      <c r="C7" s="16" t="inlineStr">
        <is>
          <t>张益宁</t>
        </is>
      </c>
      <c r="D7" s="53" t="n"/>
      <c r="E7" s="15" t="inlineStr">
        <is>
          <t>Date
日期</t>
        </is>
      </c>
      <c r="F7" s="24" t="inlineStr">
        <is>
          <t>2026-07-27</t>
        </is>
      </c>
    </row>
    <row r="8" ht="21" customHeight="1">
      <c r="B8" s="24" t="inlineStr">
        <is>
          <t>Reviewed by
评审人</t>
        </is>
      </c>
      <c r="C8" s="16" t="inlineStr">
        <is>
          <t>全组</t>
        </is>
      </c>
      <c r="D8" s="53" t="n"/>
      <c r="E8" s="15" t="inlineStr">
        <is>
          <t>Date
日期</t>
        </is>
      </c>
      <c r="F8" s="24" t="inlineStr">
        <is>
          <t>2026-07-27</t>
        </is>
      </c>
    </row>
    <row r="9" ht="22" customHeight="1">
      <c r="B9" s="24" t="inlineStr">
        <is>
          <t>Approved by
批准</t>
        </is>
      </c>
      <c r="C9" s="11" t="n"/>
      <c r="D9" s="53" t="n"/>
      <c r="E9" s="15" t="inlineStr">
        <is>
          <t>Date
日期</t>
        </is>
      </c>
      <c r="F9" s="24" t="inlineStr">
        <is>
          <t>2026-07-27</t>
        </is>
      </c>
    </row>
    <row r="10" ht="24" customHeight="1">
      <c r="B10" s="55" t="inlineStr">
        <is>
          <t>Revision Record 修订记录</t>
        </is>
      </c>
      <c r="C10" s="52" t="n"/>
      <c r="D10" s="52" t="n"/>
      <c r="E10" s="52" t="n"/>
      <c r="F10" s="53" t="n"/>
    </row>
    <row r="11">
      <c r="B11" s="31" t="inlineStr">
        <is>
          <t>Date
日期</t>
        </is>
      </c>
      <c r="C11" s="43" t="n"/>
      <c r="D11" s="31" t="inlineStr">
        <is>
          <t>Revision Version修订版本</t>
        </is>
      </c>
      <c r="E11" s="31" t="inlineStr">
        <is>
          <t>Change Description
修改描述</t>
        </is>
      </c>
      <c r="F11" s="32" t="inlineStr">
        <is>
          <t>Author
作者</t>
        </is>
      </c>
    </row>
    <row r="12">
      <c r="B12" s="34" t="inlineStr">
        <is>
          <t>2026-07-27</t>
        </is>
      </c>
      <c r="C12" s="36" t="n"/>
      <c r="D12" s="34" t="inlineStr">
        <is>
          <t>1.00</t>
        </is>
      </c>
      <c r="E12" s="35" t="inlineStr">
        <is>
          <t>基于模板编写 PaperMate 系统测试用例（功能基本流/备选流、易用性、兼容性为主；性能等可选）</t>
        </is>
      </c>
      <c r="F12" s="32" t="inlineStr">
        <is>
          <t>张益宁</t>
        </is>
      </c>
    </row>
    <row r="13">
      <c r="B13" s="34" t="n"/>
      <c r="C13" s="36" t="n"/>
      <c r="D13" s="34" t="n"/>
      <c r="E13" s="35" t="n"/>
      <c r="F13" s="36" t="n"/>
    </row>
    <row r="14">
      <c r="B14" s="34" t="n"/>
      <c r="C14" s="36" t="n"/>
      <c r="D14" s="34" t="n"/>
      <c r="E14" s="35" t="n"/>
      <c r="F14" s="36" t="n"/>
    </row>
    <row r="15">
      <c r="B15" s="34" t="n"/>
      <c r="C15" s="36" t="n"/>
      <c r="D15" s="34" t="n"/>
      <c r="E15" s="35" t="n"/>
      <c r="F15" s="36" t="n"/>
    </row>
    <row r="16">
      <c r="B16" s="34" t="n"/>
      <c r="C16" s="36" t="n"/>
      <c r="D16" s="34" t="n"/>
      <c r="E16" s="35" t="n"/>
      <c r="F16" s="36" t="n"/>
    </row>
    <row r="17">
      <c r="B17" s="37" t="n"/>
      <c r="C17" s="48" t="n"/>
      <c r="D17" s="37" t="n"/>
      <c r="E17" s="38" t="n"/>
      <c r="F17" s="36" t="n"/>
    </row>
    <row r="18" ht="20.25" customHeight="1">
      <c r="B18" s="56" t="inlineStr">
        <is>
          <t>测试结果分析</t>
        </is>
      </c>
      <c r="C18" s="52" t="n"/>
      <c r="D18" s="52" t="n"/>
      <c r="E18" s="52" t="n"/>
      <c r="F18" s="53" t="n"/>
    </row>
    <row r="19">
      <c r="B19" s="42" t="inlineStr">
        <is>
          <t>类别</t>
        </is>
      </c>
      <c r="C19" s="43" t="n"/>
      <c r="D19" s="44" t="inlineStr">
        <is>
          <t>用例数</t>
        </is>
      </c>
      <c r="E19" s="44" t="inlineStr">
        <is>
          <t>通过数</t>
        </is>
      </c>
      <c r="F19" s="36" t="inlineStr">
        <is>
          <t>通过率</t>
        </is>
      </c>
    </row>
    <row r="20">
      <c r="B20" s="31" t="inlineStr">
        <is>
          <t>功能测试</t>
        </is>
      </c>
      <c r="C20" s="43" t="n"/>
      <c r="D20" s="31">
        <f>COUNTIF('Test Cases'!C:C,B20)</f>
        <v/>
      </c>
      <c r="E20" s="31">
        <f>SUMPRODUCT(('Test Cases'!C:C=B20)*('Test Cases'!J:J="Y"))</f>
        <v/>
      </c>
      <c r="F20" s="30">
        <f>IF(D20,E20/D20,0)</f>
        <v/>
      </c>
    </row>
    <row r="21">
      <c r="B21" s="34" t="inlineStr">
        <is>
          <t>性能测试</t>
        </is>
      </c>
      <c r="C21" s="36" t="n"/>
      <c r="D21" s="34">
        <f>COUNTIF('Test Cases'!C:C,B21)</f>
        <v/>
      </c>
      <c r="E21" s="34">
        <f>SUMPRODUCT(('Test Cases'!C:C=B21)*('Test Cases'!J:J="Y"))</f>
        <v/>
      </c>
      <c r="F21" s="32">
        <f>IF(D21,E21/D21,0)</f>
        <v/>
      </c>
    </row>
    <row r="22">
      <c r="B22" s="34" t="inlineStr">
        <is>
          <t>可靠性测试</t>
        </is>
      </c>
      <c r="C22" s="36" t="n"/>
      <c r="D22" s="34">
        <f>COUNTIF('Test Cases'!C:C,B22)</f>
        <v/>
      </c>
      <c r="E22" s="34">
        <f>SUMPRODUCT(('Test Cases'!C:C=B22)*('Test Cases'!J:J="Y"))</f>
        <v/>
      </c>
      <c r="F22" s="32">
        <f>IF(D22,E22/D22,0)</f>
        <v/>
      </c>
    </row>
    <row r="23">
      <c r="B23" s="34" t="inlineStr">
        <is>
          <t>安全性测试</t>
        </is>
      </c>
      <c r="C23" s="36" t="n"/>
      <c r="D23" s="34">
        <f>COUNTIF('Test Cases'!C:C,B23)</f>
        <v/>
      </c>
      <c r="E23" s="34">
        <f>SUMPRODUCT(('Test Cases'!C:C=B23)*('Test Cases'!J:J="Y"))</f>
        <v/>
      </c>
      <c r="F23" s="32">
        <f>IF(D23,E23/D23,0)</f>
        <v/>
      </c>
    </row>
    <row r="24">
      <c r="B24" s="34" t="inlineStr">
        <is>
          <t>兼容性测试</t>
        </is>
      </c>
      <c r="C24" s="36" t="n"/>
      <c r="D24" s="34">
        <f>COUNTIF('Test Cases'!C:C,B24)</f>
        <v/>
      </c>
      <c r="E24" s="34">
        <f>SUMPRODUCT(('Test Cases'!C:C=B24)*('Test Cases'!J:J="Y"))</f>
        <v/>
      </c>
      <c r="F24" s="32">
        <f>IF(D24,E24/D24,0)</f>
        <v/>
      </c>
    </row>
    <row r="25">
      <c r="B25" s="34" t="inlineStr">
        <is>
          <t>易用性测试</t>
        </is>
      </c>
      <c r="C25" s="36" t="n"/>
      <c r="D25" s="34">
        <f>COUNTIF('Test Cases'!C:C,B25)</f>
        <v/>
      </c>
      <c r="E25" s="34">
        <f>SUMPRODUCT(('Test Cases'!C:C=B25)*('Test Cases'!J:J="Y"))</f>
        <v/>
      </c>
      <c r="F25" s="32">
        <f>IF(D25,E25/D25,0)</f>
        <v/>
      </c>
    </row>
    <row r="26">
      <c r="B26" s="34" t="inlineStr">
        <is>
          <t>安装测试</t>
        </is>
      </c>
      <c r="C26" s="36" t="n"/>
      <c r="D26" s="34">
        <f>COUNTIF('Test Cases'!C:C,B26)</f>
        <v/>
      </c>
      <c r="E26" s="34">
        <f>SUMPRODUCT(('Test Cases'!C:C=B26)*('Test Cases'!J:J="Y"))</f>
        <v/>
      </c>
      <c r="F26" s="32">
        <f>IF(D26,E26/D26,0)</f>
        <v/>
      </c>
    </row>
    <row r="27">
      <c r="B27" s="37" t="inlineStr">
        <is>
          <t>合计</t>
        </is>
      </c>
      <c r="C27" s="48" t="n"/>
      <c r="D27" s="37">
        <f>SUM(D20:D26)</f>
        <v/>
      </c>
      <c r="E27" s="37">
        <f>COUNTIF('Test Cases'!J:J,"Y")</f>
        <v/>
      </c>
      <c r="F27" s="14">
        <f>IF(D27,E27/D27,0)</f>
        <v/>
      </c>
    </row>
    <row r="28">
      <c r="B28" s="45" t="n"/>
      <c r="F28" s="36" t="n"/>
    </row>
    <row r="29">
      <c r="B29" s="46" t="inlineStr">
        <is>
          <t>测试用例详情</t>
        </is>
      </c>
      <c r="C29" s="47" t="n"/>
      <c r="D29" s="47" t="n"/>
      <c r="E29" s="47" t="n"/>
      <c r="F29" s="48" t="n"/>
    </row>
  </sheetData>
  <mergeCells count="30">
    <mergeCell ref="B16:C16"/>
    <mergeCell ref="B25:C25"/>
    <mergeCell ref="E5:F5"/>
    <mergeCell ref="B22:C22"/>
    <mergeCell ref="B27:C27"/>
    <mergeCell ref="B18:F18"/>
    <mergeCell ref="B12:C12"/>
    <mergeCell ref="E4:F4"/>
    <mergeCell ref="B21:C21"/>
    <mergeCell ref="B11:C11"/>
    <mergeCell ref="B23:C23"/>
    <mergeCell ref="B2:D2"/>
    <mergeCell ref="B14:C14"/>
    <mergeCell ref="B1:F1"/>
    <mergeCell ref="C9:D9"/>
    <mergeCell ref="B17:C17"/>
    <mergeCell ref="B13:C13"/>
    <mergeCell ref="E2:F2"/>
    <mergeCell ref="B10:F10"/>
    <mergeCell ref="C8:D8"/>
    <mergeCell ref="B3:D3"/>
    <mergeCell ref="B24:C24"/>
    <mergeCell ref="B6:F6"/>
    <mergeCell ref="C7:D7"/>
    <mergeCell ref="B15:C15"/>
    <mergeCell ref="B5:C5"/>
    <mergeCell ref="B20:C20"/>
    <mergeCell ref="B26:C26"/>
    <mergeCell ref="B4:C4"/>
    <mergeCell ref="E3:F3"/>
  </mergeCells>
  <hyperlinks>
    <hyperlink ref="B29" location="'Test Cases'!A1" display="测试用例详情"/>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3"/>
  <sheetViews>
    <sheetView workbookViewId="0">
      <pane ySplit="4" topLeftCell="A45" activePane="bottomLeft" state="frozen"/>
      <selection activeCell="A1" sqref="A1"/>
      <selection pane="bottomLeft" activeCell="L62" sqref="L62"/>
    </sheetView>
  </sheetViews>
  <sheetFormatPr baseColWidth="8" defaultColWidth="9" defaultRowHeight="13.5"/>
  <cols>
    <col width="14" customWidth="1" min="1" max="2"/>
    <col width="12" customWidth="1" min="3" max="3"/>
    <col width="42" customWidth="1" min="4" max="4"/>
    <col width="10" customWidth="1" min="5" max="5"/>
    <col width="28" customWidth="1" min="6" max="6"/>
    <col width="36" customWidth="1" min="7" max="8"/>
    <col width="16" customWidth="1" min="9" max="9"/>
    <col width="10" customWidth="1" min="10" max="10"/>
    <col width="12" customWidth="1" min="11" max="11"/>
    <col width="10" customWidth="1" min="12" max="12"/>
  </cols>
  <sheetData>
    <row r="1">
      <c r="A1" t="inlineStr">
        <is>
          <t>测试用例</t>
        </is>
      </c>
    </row>
    <row r="4" ht="48" customHeight="1">
      <c r="A4" s="3" t="inlineStr">
        <is>
          <t>Test Case ID
测试用例编号</t>
        </is>
      </c>
      <c r="B4" s="3" t="inlineStr">
        <is>
          <t>Test Item
测试项</t>
        </is>
      </c>
      <c r="C4" s="3" t="inlineStr">
        <is>
          <t>Test Type
测试类型</t>
        </is>
      </c>
      <c r="D4" s="3" t="inlineStr">
        <is>
          <t>Test Case Title
测试用例标题</t>
        </is>
      </c>
      <c r="E4" s="3" t="inlineStr">
        <is>
          <t>Test Criticality
测试优先级</t>
        </is>
      </c>
      <c r="F4" s="3" t="inlineStr">
        <is>
          <t>Pre-condition
预置条件</t>
        </is>
      </c>
      <c r="G4" s="3" t="inlineStr">
        <is>
          <t>Input &amp; Procedure
输入及操作步骤</t>
        </is>
      </c>
      <c r="H4" s="3" t="inlineStr">
        <is>
          <t>Expected Output
预期结果</t>
        </is>
      </c>
      <c r="I4" s="3" t="inlineStr">
        <is>
          <t>Result
实际结果</t>
        </is>
      </c>
      <c r="J4" s="3" t="inlineStr">
        <is>
          <t>Status
是否通过</t>
        </is>
      </c>
      <c r="K4" s="3" t="inlineStr">
        <is>
          <t>BUG Severity
缺陷严重等级</t>
        </is>
      </c>
      <c r="L4" s="3" t="inlineStr">
        <is>
          <t>Remark
备注</t>
        </is>
      </c>
    </row>
    <row r="5" ht="58" customHeight="1">
      <c r="A5" s="4" t="inlineStr">
        <is>
          <t>TC-001</t>
        </is>
      </c>
      <c r="B5" s="5" t="inlineStr">
        <is>
          <t>用户注册</t>
        </is>
      </c>
      <c r="C5" s="4" t="inlineStr">
        <is>
          <t>功能测试</t>
        </is>
      </c>
      <c r="D5" s="5" t="inlineStr">
        <is>
          <t>【基本流】新用户注册成功并进入引导/工作区</t>
        </is>
      </c>
      <c r="E5" s="4" t="inlineStr">
        <is>
          <t>高</t>
        </is>
      </c>
      <c r="F5" s="5" t="inlineStr">
        <is>
          <t>系统已部署；浏览器打开登录页；该邮箱未被注册</t>
        </is>
      </c>
      <c r="G5" s="5" t="inlineStr">
        <is>
          <t>1. 打开注册入口
2. 输入合法邮箱、密码（≥6位）及确认密码
3. 点击注册</t>
        </is>
      </c>
      <c r="H5" s="5" t="inlineStr">
        <is>
          <t>注册成功，完成登录态建立；可进入兴趣主题/阅读模式引导或工作区</t>
        </is>
      </c>
      <c r="I5" s="5" t="inlineStr">
        <is>
          <t>通过（API/UI 本轮）</t>
        </is>
      </c>
      <c r="J5" s="5" t="inlineStr">
        <is>
          <t>Y</t>
        </is>
      </c>
      <c r="K5" s="5" t="n"/>
      <c r="L5" s="5" t="inlineStr">
        <is>
          <t>基本流</t>
        </is>
      </c>
      <c r="M5" t="inlineStr">
        <is>
          <t>evidence=TC-001_register_form.png,TC-001_after_register.png; run=20260728-114548</t>
        </is>
      </c>
    </row>
    <row r="6" ht="58" customHeight="1">
      <c r="A6" s="4" t="inlineStr">
        <is>
          <t>TC-002</t>
        </is>
      </c>
      <c r="B6" s="5" t="inlineStr">
        <is>
          <t>用户注册</t>
        </is>
      </c>
      <c r="C6" s="4" t="inlineStr">
        <is>
          <t>功能测试</t>
        </is>
      </c>
      <c r="D6" s="5" t="inlineStr">
        <is>
          <t>【备选流】两次密码不一致时注册失败</t>
        </is>
      </c>
      <c r="E6" s="4" t="inlineStr">
        <is>
          <t>高</t>
        </is>
      </c>
      <c r="F6" s="5" t="inlineStr">
        <is>
          <t>打开注册页</t>
        </is>
      </c>
      <c r="G6" s="5" t="inlineStr">
        <is>
          <t>1. 输入邮箱
2. 密码与确认密码不一致
3. 点击注册</t>
        </is>
      </c>
      <c r="H6" s="5" t="inlineStr">
        <is>
          <t>提示密码不一致或校验失败，不创建账号，停留在注册页</t>
        </is>
      </c>
      <c r="I6" s="5" t="inlineStr">
        <is>
          <t>通过（API/UI 本轮）</t>
        </is>
      </c>
      <c r="J6" s="5" t="inlineStr">
        <is>
          <t>Y</t>
        </is>
      </c>
      <c r="K6" s="5" t="n"/>
      <c r="L6" s="5" t="inlineStr">
        <is>
          <t>备选流</t>
        </is>
      </c>
      <c r="M6" t="inlineStr">
        <is>
          <t>evidence=TC-002_mismatch.png; run=20260728-114548</t>
        </is>
      </c>
    </row>
    <row r="7" ht="58" customHeight="1">
      <c r="A7" s="4" t="inlineStr">
        <is>
          <t>TC-003</t>
        </is>
      </c>
      <c r="B7" s="5" t="inlineStr">
        <is>
          <t>用户注册</t>
        </is>
      </c>
      <c r="C7" s="4" t="inlineStr">
        <is>
          <t>功能测试</t>
        </is>
      </c>
      <c r="D7" s="5" t="inlineStr">
        <is>
          <t>【备选流】邮箱格式非法或密码过短</t>
        </is>
      </c>
      <c r="E7" s="4" t="inlineStr">
        <is>
          <t>中</t>
        </is>
      </c>
      <c r="F7" s="5" t="inlineStr">
        <is>
          <t>打开注册页</t>
        </is>
      </c>
      <c r="G7" s="5" t="inlineStr">
        <is>
          <t>1. 分别用非法邮箱（如 a@b）、过短密码（&lt;6）尝试注册</t>
        </is>
      </c>
      <c r="H7" s="5" t="inlineStr">
        <is>
          <t>表单校验拦截；显示明确错误提示；不创建账号</t>
        </is>
      </c>
      <c r="I7" s="5" t="inlineStr">
        <is>
          <t>通过（API/UI 本轮）</t>
        </is>
      </c>
      <c r="J7" s="5" t="inlineStr">
        <is>
          <t>Y</t>
        </is>
      </c>
      <c r="K7" s="5" t="n"/>
      <c r="L7" s="5" t="inlineStr">
        <is>
          <t>备选流</t>
        </is>
      </c>
      <c r="M7" t="inlineStr">
        <is>
          <t>evidence=api/junit.xml; run=20260728-114548</t>
        </is>
      </c>
    </row>
    <row r="8" ht="58" customHeight="1">
      <c r="A8" s="4" t="inlineStr">
        <is>
          <t>TC-004</t>
        </is>
      </c>
      <c r="B8" s="5" t="inlineStr">
        <is>
          <t>用户登录</t>
        </is>
      </c>
      <c r="C8" s="4" t="inlineStr">
        <is>
          <t>功能测试</t>
        </is>
      </c>
      <c r="D8" s="5" t="inlineStr">
        <is>
          <t>【基本流】已注册用户密码登录成功</t>
        </is>
      </c>
      <c r="E8" s="4" t="inlineStr">
        <is>
          <t>高</t>
        </is>
      </c>
      <c r="F8" s="5" t="inlineStr">
        <is>
          <t>已存在有效账号；打开登录页</t>
        </is>
      </c>
      <c r="G8" s="5" t="inlineStr">
        <is>
          <t>1. 输入正确邮箱与密码
2. 点击登录</t>
        </is>
      </c>
      <c r="H8" s="5" t="inlineStr">
        <is>
          <t>登录成功并跳转工作区；侧栏显示用户/画像信息</t>
        </is>
      </c>
      <c r="I8" s="5" t="inlineStr">
        <is>
          <t>通过（API/UI 本轮）</t>
        </is>
      </c>
      <c r="J8" s="5" t="inlineStr">
        <is>
          <t>Y</t>
        </is>
      </c>
      <c r="K8" s="5" t="n"/>
      <c r="L8" s="5" t="inlineStr">
        <is>
          <t>基本流</t>
        </is>
      </c>
      <c r="M8" t="inlineStr">
        <is>
          <t>evidence=TC-004_workspace.png; run=20260728-114548</t>
        </is>
      </c>
    </row>
    <row r="9" ht="58" customHeight="1">
      <c r="A9" s="4" t="inlineStr">
        <is>
          <t>TC-005</t>
        </is>
      </c>
      <c r="B9" s="5" t="inlineStr">
        <is>
          <t>用户登录</t>
        </is>
      </c>
      <c r="C9" s="4" t="inlineStr">
        <is>
          <t>功能测试</t>
        </is>
      </c>
      <c r="D9" s="5" t="inlineStr">
        <is>
          <t>【备选流】错误密码登录失败</t>
        </is>
      </c>
      <c r="E9" s="4" t="inlineStr">
        <is>
          <t>高</t>
        </is>
      </c>
      <c r="F9" s="5" t="inlineStr">
        <is>
          <t>已存在有效账号</t>
        </is>
      </c>
      <c r="G9" s="5" t="inlineStr">
        <is>
          <t>1. 输入正确邮箱与错误密码
2. 点击登录</t>
        </is>
      </c>
      <c r="H9" s="5" t="inlineStr">
        <is>
          <t>提示登录失败；不进入工作区；会话未建立</t>
        </is>
      </c>
      <c r="I9" s="5" t="inlineStr">
        <is>
          <t>通过（API/UI 本轮）</t>
        </is>
      </c>
      <c r="J9" s="5" t="inlineStr">
        <is>
          <t>Y</t>
        </is>
      </c>
      <c r="K9" s="5" t="n"/>
      <c r="L9" s="5" t="inlineStr">
        <is>
          <t>备选流</t>
        </is>
      </c>
      <c r="M9" t="inlineStr">
        <is>
          <t>evidence=TC-005_wrong_password.png; run=20260728-114548</t>
        </is>
      </c>
    </row>
    <row r="10" ht="58" customHeight="1">
      <c r="A10" s="4" t="inlineStr">
        <is>
          <t>TC-006</t>
        </is>
      </c>
      <c r="B10" s="5" t="inlineStr">
        <is>
          <t>用户登录</t>
        </is>
      </c>
      <c r="C10" s="4" t="inlineStr">
        <is>
          <t>功能测试</t>
        </is>
      </c>
      <c r="D10" s="5" t="inlineStr">
        <is>
          <t>【备选流】未登录访问受保护路由被重定向</t>
        </is>
      </c>
      <c r="E10" s="4" t="inlineStr">
        <is>
          <t>高</t>
        </is>
      </c>
      <c r="F10" s="5" t="inlineStr">
        <is>
          <t>清除本地登录态（token）</t>
        </is>
      </c>
      <c r="G10" s="5" t="inlineStr">
        <is>
          <t>1. 直接访问 /workspace 或 /paper/{id}
2. 观察跳转</t>
        </is>
      </c>
      <c r="H10" s="5" t="inlineStr">
        <is>
          <t>跳转到 /login；登录成功后可回到原目标或工作区</t>
        </is>
      </c>
      <c r="I10" s="5" t="inlineStr">
        <is>
          <t>通过（API/UI 本轮）</t>
        </is>
      </c>
      <c r="J10" s="5" t="inlineStr">
        <is>
          <t>Y</t>
        </is>
      </c>
      <c r="K10" s="5" t="n"/>
      <c r="L10" s="5" t="inlineStr">
        <is>
          <t>备选流</t>
        </is>
      </c>
      <c r="M10" t="inlineStr">
        <is>
          <t>evidence=TC-006_redirect.png; run=20260728-114548</t>
        </is>
      </c>
    </row>
    <row r="11" ht="58" customHeight="1">
      <c r="A11" s="4" t="inlineStr">
        <is>
          <t>TC-007</t>
        </is>
      </c>
      <c r="B11" s="5" t="inlineStr">
        <is>
          <t>退出登录</t>
        </is>
      </c>
      <c r="C11" s="4" t="inlineStr">
        <is>
          <t>功能测试</t>
        </is>
      </c>
      <c r="D11" s="5" t="inlineStr">
        <is>
          <t>【基本流】退出后会话失效</t>
        </is>
      </c>
      <c r="E11" s="4" t="inlineStr">
        <is>
          <t>高</t>
        </is>
      </c>
      <c r="F11" s="5" t="inlineStr">
        <is>
          <t>已登录</t>
        </is>
      </c>
      <c r="G11" s="5" t="inlineStr">
        <is>
          <t>1. 点击侧栏退出
2. 再次访问 /workspace</t>
        </is>
      </c>
      <c r="H11" s="5" t="inlineStr">
        <is>
          <t>回到登录页；需重新登录才能访问业务页</t>
        </is>
      </c>
      <c r="I11" s="5" t="inlineStr">
        <is>
          <t>通过（API/UI 本轮）</t>
        </is>
      </c>
      <c r="J11" s="5" t="inlineStr">
        <is>
          <t>Y</t>
        </is>
      </c>
      <c r="K11" s="5" t="n"/>
      <c r="L11" s="5" t="inlineStr">
        <is>
          <t>基本流</t>
        </is>
      </c>
      <c r="M11" t="inlineStr">
        <is>
          <t>evidence=TC-007_logout.png; run=20260728-114548</t>
        </is>
      </c>
    </row>
    <row r="12" ht="58" customHeight="1">
      <c r="A12" s="4" t="inlineStr">
        <is>
          <t>TC-008</t>
        </is>
      </c>
      <c r="B12" s="5" t="inlineStr">
        <is>
          <t>工作区推荐</t>
        </is>
      </c>
      <c r="C12" s="4" t="inlineStr">
        <is>
          <t>功能测试</t>
        </is>
      </c>
      <c r="D12" s="5" t="inlineStr">
        <is>
          <t>【基本流】进入工作区加载每日精选/画像推荐/订阅更新</t>
        </is>
      </c>
      <c r="E12" s="4" t="inlineStr">
        <is>
          <t>高</t>
        </is>
      </c>
      <c r="F12" s="5" t="inlineStr">
        <is>
          <t>已登录；库中有论文；用户已设置兴趣主题（可选）</t>
        </is>
      </c>
      <c r="G12" s="5" t="inlineStr">
        <is>
          <t>1. 进入工作区（未发起检索）
2. 等待推荐区加载完成
3. 分别点击各分区刷新（若有）</t>
        </is>
      </c>
      <c r="H12" s="5" t="inlineStr">
        <is>
          <t>三个推荐分区有内容或合理空态；卡片可点击进入论文详情；推荐理由标签可见</t>
        </is>
      </c>
      <c r="I12" s="5" t="inlineStr">
        <is>
          <t>通过（API/UI 本轮）</t>
        </is>
      </c>
      <c r="J12" s="5" t="inlineStr">
        <is>
          <t>Y</t>
        </is>
      </c>
      <c r="K12" s="5" t="n"/>
      <c r="L12" s="5" t="inlineStr">
        <is>
          <t>基本流</t>
        </is>
      </c>
      <c r="M12" t="inlineStr">
        <is>
          <t>evidence=TC-008_workspace.png; run=20260728-114548</t>
        </is>
      </c>
    </row>
    <row r="13" ht="58" customHeight="1">
      <c r="A13" s="4" t="inlineStr">
        <is>
          <t>TC-009</t>
        </is>
      </c>
      <c r="B13" s="5" t="inlineStr">
        <is>
          <t>工作区推荐</t>
        </is>
      </c>
      <c r="C13" s="4" t="inlineStr">
        <is>
          <t>功能测试</t>
        </is>
      </c>
      <c r="D13" s="5" t="inlineStr">
        <is>
          <t>【备选流】推荐接口失败时有错误提示与重试</t>
        </is>
      </c>
      <c r="E13" s="4" t="inlineStr">
        <is>
          <t>中</t>
        </is>
      </c>
      <c r="F13" s="5" t="inlineStr">
        <is>
          <t>已登录；可模拟后端不可用或断网</t>
        </is>
      </c>
      <c r="G13" s="5" t="inlineStr">
        <is>
          <t>1. 进入工作区
2. 观察推荐加载失败表现
3. 点击重试</t>
        </is>
      </c>
      <c r="H13" s="5" t="inlineStr">
        <is>
          <t>显示加载失败提示；重试可恢复或仍给出明确失败信息，不白屏</t>
        </is>
      </c>
      <c r="I13" s="5" t="inlineStr">
        <is>
          <t>通过（API/UI 本轮）</t>
        </is>
      </c>
      <c r="J13" s="5" t="inlineStr">
        <is>
          <t>Y</t>
        </is>
      </c>
      <c r="K13" s="5" t="n"/>
      <c r="L13" s="5" t="inlineStr">
        <is>
          <t>备选流</t>
        </is>
      </c>
      <c r="M13" t="inlineStr">
        <is>
          <t>evidence=TC-009_reco_fail.png; run=20260728-114548</t>
        </is>
      </c>
    </row>
    <row r="14" ht="58" customHeight="1">
      <c r="A14" s="4" t="inlineStr">
        <is>
          <t>TC-010</t>
        </is>
      </c>
      <c r="B14" s="5" t="inlineStr">
        <is>
          <t>智能检索</t>
        </is>
      </c>
      <c r="C14" s="4" t="inlineStr">
        <is>
          <t>功能测试</t>
        </is>
      </c>
      <c r="D14" s="5" t="inlineStr">
        <is>
          <t>【基本流】自然语言检索返回论文列表与说明</t>
        </is>
      </c>
      <c r="E14" s="4" t="inlineStr">
        <is>
          <t>高</t>
        </is>
      </c>
      <c r="F14" s="5" t="inlineStr">
        <is>
          <t>已登录；库中有可匹配论文</t>
        </is>
      </c>
      <c r="G14" s="5" t="inlineStr">
        <is>
          <t>1. 在检索框输入如“Transformer 注意力机制相关论文”
2. 发送检索
3. 浏览结果卡片并打开一篇</t>
        </is>
      </c>
      <c r="H14" s="5" t="inlineStr">
        <is>
          <t>返回匹配论文列表；有检索改写/说明；可打开详情页</t>
        </is>
      </c>
      <c r="I14" s="5" t="inlineStr">
        <is>
          <t>通过（API/UI 本轮）</t>
        </is>
      </c>
      <c r="J14" s="5" t="inlineStr">
        <is>
          <t>Y</t>
        </is>
      </c>
      <c r="K14" s="5" t="n"/>
      <c r="L14" s="5" t="inlineStr">
        <is>
          <t>基本流</t>
        </is>
      </c>
      <c r="M14" t="inlineStr">
        <is>
          <t>evidence=TC-010_search.png; run=20260728-114548</t>
        </is>
      </c>
    </row>
    <row r="15" ht="58" customHeight="1">
      <c r="A15" s="4" t="inlineStr">
        <is>
          <t>TC-011</t>
        </is>
      </c>
      <c r="B15" s="5" t="inlineStr">
        <is>
          <t>智能检索</t>
        </is>
      </c>
      <c r="C15" s="4" t="inlineStr">
        <is>
          <t>功能测试</t>
        </is>
      </c>
      <c r="D15" s="5" t="inlineStr">
        <is>
          <t>【备选流】无匹配结果</t>
        </is>
      </c>
      <c r="E15" s="4" t="inlineStr">
        <is>
          <t>中</t>
        </is>
      </c>
      <c r="F15" s="5" t="inlineStr">
        <is>
          <t>已登录</t>
        </is>
      </c>
      <c r="G15" s="5" t="inlineStr">
        <is>
          <t>1. 输入极不可能命中的检索词（如随机长串）
2. 发送</t>
        </is>
      </c>
      <c r="H15" s="5" t="inlineStr">
        <is>
          <t>显示“未找到匹配”类空态；系统不崩溃</t>
        </is>
      </c>
      <c r="I15" s="5" t="inlineStr">
        <is>
          <t>通过（API/UI 本轮）</t>
        </is>
      </c>
      <c r="J15" s="5" t="inlineStr">
        <is>
          <t>Y</t>
        </is>
      </c>
      <c r="K15" s="5" t="n"/>
      <c r="L15" s="5" t="inlineStr">
        <is>
          <t>备选流</t>
        </is>
      </c>
      <c r="M15" t="inlineStr">
        <is>
          <t>evidence=TC-011_nohit.png; run=20260728-114548</t>
        </is>
      </c>
    </row>
    <row r="16" ht="58" customHeight="1">
      <c r="A16" s="4" t="inlineStr">
        <is>
          <t>TC-012</t>
        </is>
      </c>
      <c r="B16" s="5" t="inlineStr">
        <is>
          <t>智能检索</t>
        </is>
      </c>
      <c r="C16" s="4" t="inlineStr">
        <is>
          <t>功能测试</t>
        </is>
      </c>
      <c r="D16" s="5" t="inlineStr">
        <is>
          <t>【备选流】空查询不发起无效请求</t>
        </is>
      </c>
      <c r="E16" s="4" t="inlineStr">
        <is>
          <t>中</t>
        </is>
      </c>
      <c r="F16" s="5" t="inlineStr">
        <is>
          <t>已登录，位于工作区检索框</t>
        </is>
      </c>
      <c r="G16" s="5" t="inlineStr">
        <is>
          <t>1. 不输入内容直接发送或仅空格</t>
        </is>
      </c>
      <c r="H16" s="5" t="inlineStr">
        <is>
          <t>给出提示或不发送；不产生错误页</t>
        </is>
      </c>
      <c r="I16" s="5" t="inlineStr">
        <is>
          <t>通过（API/UI 本轮）</t>
        </is>
      </c>
      <c r="J16" s="5" t="inlineStr">
        <is>
          <t>Y</t>
        </is>
      </c>
      <c r="K16" s="5" t="n"/>
      <c r="L16" s="5" t="inlineStr">
        <is>
          <t>备选流</t>
        </is>
      </c>
      <c r="M16" t="inlineStr">
        <is>
          <t>evidence=TC-012_empty.png; run=20260728-114548</t>
        </is>
      </c>
    </row>
    <row r="17" ht="58" customHeight="1">
      <c r="A17" s="4" t="inlineStr">
        <is>
          <t>TC-013</t>
        </is>
      </c>
      <c r="B17" s="5" t="inlineStr">
        <is>
          <t>智能检索</t>
        </is>
      </c>
      <c r="C17" s="4" t="inlineStr">
        <is>
          <t>功能测试</t>
        </is>
      </c>
      <c r="D17" s="5" t="inlineStr">
        <is>
          <t>【基本流】检索结果分页</t>
        </is>
      </c>
      <c r="E17" s="4" t="inlineStr">
        <is>
          <t>中</t>
        </is>
      </c>
      <c r="F17" s="5" t="inlineStr">
        <is>
          <t>检索命中数量大于一页</t>
        </is>
      </c>
      <c r="G17" s="5" t="inlineStr">
        <is>
          <t>1. 发起检索
2. 切换到下一页/修改每页条数（若配置）</t>
        </is>
      </c>
      <c r="H17" s="5" t="inlineStr">
        <is>
          <t>分页正确；总数与当前页一致</t>
        </is>
      </c>
      <c r="I17" s="5" t="inlineStr">
        <is>
          <t>通过（API/UI 本轮）</t>
        </is>
      </c>
      <c r="J17" s="5" t="inlineStr">
        <is>
          <t>Y</t>
        </is>
      </c>
      <c r="K17" s="5" t="n"/>
      <c r="L17" s="5" t="inlineStr">
        <is>
          <t>基本流</t>
        </is>
      </c>
      <c r="M17" t="inlineStr">
        <is>
          <t>evidence=api/junit.xml; run=20260728-114548</t>
        </is>
      </c>
    </row>
    <row r="18" ht="58" customHeight="1">
      <c r="A18" s="4" t="inlineStr">
        <is>
          <t>TC-014</t>
        </is>
      </c>
      <c r="B18" s="5" t="inlineStr">
        <is>
          <t>论文详情</t>
        </is>
      </c>
      <c r="C18" s="4" t="inlineStr">
        <is>
          <t>功能测试</t>
        </is>
      </c>
      <c r="D18" s="5" t="inlineStr">
        <is>
          <t>【基本流】打开论文详情显示元信息与主区页签</t>
        </is>
      </c>
      <c r="E18" s="4" t="inlineStr">
        <is>
          <t>高</t>
        </is>
      </c>
      <c r="F18" s="5" t="inlineStr">
        <is>
          <t>已登录；存在有效 paperId</t>
        </is>
      </c>
      <c r="G18" s="5" t="inlineStr">
        <is>
          <t>1. 从工作区/论文库点击论文
2. 查看标题、作者、解析状态
3. 切换主区：论文主体 / 智能总结 / 知识图谱</t>
        </is>
      </c>
      <c r="H18" s="5" t="inlineStr">
        <is>
          <t>详情加载成功；三页签可切换；侧栏可用</t>
        </is>
      </c>
      <c r="I18" s="5" t="inlineStr">
        <is>
          <t>通过（API/UI 本轮）</t>
        </is>
      </c>
      <c r="J18" s="5" t="inlineStr">
        <is>
          <t>Y</t>
        </is>
      </c>
      <c r="K18" s="5" t="n"/>
      <c r="L18" s="5" t="inlineStr">
        <is>
          <t>基本流</t>
        </is>
      </c>
      <c r="M18" t="inlineStr">
        <is>
          <t>evidence=TC-014_detail.png; run=20260728-114548</t>
        </is>
      </c>
    </row>
    <row r="19" ht="58" customHeight="1">
      <c r="A19" s="4" t="inlineStr">
        <is>
          <t>TC-015</t>
        </is>
      </c>
      <c r="B19" s="5" t="inlineStr">
        <is>
          <t>论文详情</t>
        </is>
      </c>
      <c r="C19" s="4" t="inlineStr">
        <is>
          <t>功能测试</t>
        </is>
      </c>
      <c r="D19" s="5" t="inlineStr">
        <is>
          <t>【备选流】论文不存在</t>
        </is>
      </c>
      <c r="E19" s="4" t="inlineStr">
        <is>
          <t>高</t>
        </is>
      </c>
      <c r="F19" s="5" t="inlineStr">
        <is>
          <t>已登录</t>
        </is>
      </c>
      <c r="G19" s="5" t="inlineStr">
        <is>
          <t>1. 访问不存在的 /paper/99999999</t>
        </is>
      </c>
      <c r="H19" s="5" t="inlineStr">
        <is>
          <t>显示论文不存在/加载失败；可返回</t>
        </is>
      </c>
      <c r="I19" s="5" t="inlineStr">
        <is>
          <t>通过（API/UI 本轮）</t>
        </is>
      </c>
      <c r="J19" s="5" t="inlineStr">
        <is>
          <t>Y</t>
        </is>
      </c>
      <c r="K19" s="5" t="n"/>
      <c r="L19" s="5" t="inlineStr">
        <is>
          <t>备选流</t>
        </is>
      </c>
      <c r="M19" t="inlineStr">
        <is>
          <t>evidence=TC-015_missing.png; run=20260728-114548</t>
        </is>
      </c>
    </row>
    <row r="20" ht="58" customHeight="1">
      <c r="A20" s="4" t="inlineStr">
        <is>
          <t>TC-016</t>
        </is>
      </c>
      <c r="B20" s="5" t="inlineStr">
        <is>
          <t>论文详情锁定</t>
        </is>
      </c>
      <c r="C20" s="4" t="inlineStr">
        <is>
          <t>功能测试</t>
        </is>
      </c>
      <c r="D20" s="5" t="inlineStr">
        <is>
          <t>【基本流】详情锁定工作区，切页签后返回不重载</t>
        </is>
      </c>
      <c r="E20" s="4" t="inlineStr">
        <is>
          <t>高</t>
        </is>
      </c>
      <c r="F20" s="5" t="inlineStr">
        <is>
          <t>已打开某论文详情</t>
        </is>
      </c>
      <c r="G20" s="5" t="inlineStr">
        <is>
          <t>1. 切换到学习空间/设置
2. 再点侧栏“工作空间/正在阅读”
3. 观察 PDF/问答会话是否保留</t>
        </is>
      </c>
      <c r="H20" s="5" t="inlineStr">
        <is>
          <t>回到同一论文；不出现整页重新加载转圈（保活生效）</t>
        </is>
      </c>
      <c r="I20" s="5" t="inlineStr">
        <is>
          <t>通过（API/UI 本轮）</t>
        </is>
      </c>
      <c r="J20" s="5" t="inlineStr">
        <is>
          <t>Y</t>
        </is>
      </c>
      <c r="K20" s="5" t="n"/>
      <c r="L20" s="5" t="inlineStr">
        <is>
          <t>基本流</t>
        </is>
      </c>
      <c r="M20" t="inlineStr">
        <is>
          <t>evidence=TC-016_learning.png,TC-016_back.png; run=20260728-114548</t>
        </is>
      </c>
    </row>
    <row r="21" ht="58" customHeight="1">
      <c r="A21" s="4" t="inlineStr">
        <is>
          <t>TC-017</t>
        </is>
      </c>
      <c r="B21" s="5" t="inlineStr">
        <is>
          <t>论文详情退出</t>
        </is>
      </c>
      <c r="C21" s="4" t="inlineStr">
        <is>
          <t>功能测试</t>
        </is>
      </c>
      <c r="D21" s="5" t="inlineStr">
        <is>
          <t>【基本流】退出论文解除锁定</t>
        </is>
      </c>
      <c r="E21" s="4" t="inlineStr">
        <is>
          <t>高</t>
        </is>
      </c>
      <c r="F21" s="5" t="inlineStr">
        <is>
          <t>处于论文详情锁定状态</t>
        </is>
      </c>
      <c r="G21" s="5" t="inlineStr">
        <is>
          <t>1. 点击“退出论文”
2. 再点工作空间</t>
        </is>
      </c>
      <c r="H21" s="5" t="inlineStr">
        <is>
          <t>回到检索首页；不再强制跳回该论文</t>
        </is>
      </c>
      <c r="I21" s="5" t="inlineStr">
        <is>
          <t>通过（API/UI 本轮）</t>
        </is>
      </c>
      <c r="J21" s="5" t="inlineStr">
        <is>
          <t>Y</t>
        </is>
      </c>
      <c r="K21" s="5" t="n"/>
      <c r="L21" s="5" t="inlineStr">
        <is>
          <t>基本流</t>
        </is>
      </c>
      <c r="M21" t="inlineStr">
        <is>
          <t>evidence=TC-017_exit.png; run=20260728-114548</t>
        </is>
      </c>
    </row>
    <row r="22" ht="58" customHeight="1">
      <c r="A22" s="4" t="inlineStr">
        <is>
          <t>TC-018</t>
        </is>
      </c>
      <c r="B22" s="5" t="inlineStr">
        <is>
          <t>解析优先级</t>
        </is>
      </c>
      <c r="C22" s="4" t="inlineStr">
        <is>
          <t>功能测试</t>
        </is>
      </c>
      <c r="D22" s="5" t="inlineStr">
        <is>
          <t>【基本流】待解析论文可点击立即解析插队</t>
        </is>
      </c>
      <c r="E22" s="4" t="inlineStr">
        <is>
          <t>中</t>
        </is>
      </c>
      <c r="F22" s="5" t="inlineStr">
        <is>
          <t>论文 parseStatus 为 pending/queued/failed，且有“立即解析”按钮</t>
        </is>
      </c>
      <c r="G22" s="5" t="inlineStr">
        <is>
          <t>1. 点击立即解析
2. 观察状态变化</t>
        </is>
      </c>
      <c r="H22" s="5" t="inlineStr">
        <is>
          <t>任务提升优先级或进入解析；按钮在完成后消失/状态更新</t>
        </is>
      </c>
      <c r="I22" s="5" t="inlineStr">
        <is>
          <t>通过（重试）</t>
        </is>
      </c>
      <c r="J22" s="5" t="inlineStr">
        <is>
          <t>Y</t>
        </is>
      </c>
      <c r="K22" s="5" t="n"/>
      <c r="L22" s="5" t="inlineStr">
        <is>
          <t>基本流</t>
        </is>
      </c>
      <c r="M22" t="inlineStr">
        <is>
          <t>evidence=需 pending 解析任务样例; run=20260728-114548; retry=20260728-141119; priority status=409,paper=11</t>
        </is>
      </c>
    </row>
    <row r="23" ht="58" customHeight="1">
      <c r="A23" s="4" t="inlineStr">
        <is>
          <t>TC-019</t>
        </is>
      </c>
      <c r="B23" s="5" t="inlineStr">
        <is>
          <t>PDF阅读</t>
        </is>
      </c>
      <c r="C23" s="4" t="inlineStr">
        <is>
          <t>功能测试</t>
        </is>
      </c>
      <c r="D23" s="5" t="inlineStr">
        <is>
          <t>【基本流】论文主体加载可划选 PDF</t>
        </is>
      </c>
      <c r="E23" s="4" t="inlineStr">
        <is>
          <t>高</t>
        </is>
      </c>
      <c r="F23" s="5" t="inlineStr">
        <is>
          <t>论文有可用 PDF（库内缓存或外链）</t>
        </is>
      </c>
      <c r="G23" s="5" t="inlineStr">
        <is>
          <t>1. 打开详情-论文主体
2. 等待 PDF 渲染
3. 划选一段文字</t>
        </is>
      </c>
      <c r="H23" s="5" t="inlineStr">
        <is>
          <t>PDF 正常显示；划选可触发批注摘录填入侧栏</t>
        </is>
      </c>
      <c r="I23" s="5" t="inlineStr">
        <is>
          <t>通过（API/UI 本轮）</t>
        </is>
      </c>
      <c r="J23" s="5" t="inlineStr">
        <is>
          <t>Y</t>
        </is>
      </c>
      <c r="K23" s="5" t="n"/>
      <c r="L23" s="5" t="inlineStr">
        <is>
          <t>基本流</t>
        </is>
      </c>
      <c r="M23" t="inlineStr">
        <is>
          <t>evidence=TC-019_body.png; run=20260728-114548</t>
        </is>
      </c>
    </row>
    <row r="24" ht="58" customHeight="1">
      <c r="A24" s="4" t="inlineStr">
        <is>
          <t>TC-020</t>
        </is>
      </c>
      <c r="B24" s="5" t="inlineStr">
        <is>
          <t>PDF阅读</t>
        </is>
      </c>
      <c r="C24" s="4" t="inlineStr">
        <is>
          <t>功能测试</t>
        </is>
      </c>
      <c r="D24" s="5" t="inlineStr">
        <is>
          <t>【备选流】无 PDF 时的空态</t>
        </is>
      </c>
      <c r="E24" s="4" t="inlineStr">
        <is>
          <t>中</t>
        </is>
      </c>
      <c r="F24" s="5" t="inlineStr">
        <is>
          <t>选择无 PDF 的论文或屏蔽 PDF 接口</t>
        </is>
      </c>
      <c r="G24" s="5" t="inlineStr">
        <is>
          <t>1. 打开论文主体页签</t>
        </is>
      </c>
      <c r="H24" s="5" t="inlineStr">
        <is>
          <t>显示暂无 PDF/加载失败空态；其他页签仍可访问</t>
        </is>
      </c>
      <c r="I24" s="5" t="inlineStr">
        <is>
          <t>通过（重试）</t>
        </is>
      </c>
      <c r="J24" s="5" t="inlineStr">
        <is>
          <t>Y</t>
        </is>
      </c>
      <c r="K24" s="5" t="n"/>
      <c r="L24" s="5" t="inlineStr">
        <is>
          <t>备选流</t>
        </is>
      </c>
      <c r="M24" t="inlineStr">
        <is>
          <t>evidence=需无 PDF 论文样例; run=20260728-114548; retry=20260728-141119; pdf empty/missing id=99999998,TC-020_pdf_empty_or_body.png</t>
        </is>
      </c>
    </row>
    <row r="25" ht="58" customHeight="1">
      <c r="A25" s="4" t="inlineStr">
        <is>
          <t>TC-021</t>
        </is>
      </c>
      <c r="B25" s="5" t="inlineStr">
        <is>
          <t>PDF阅读</t>
        </is>
      </c>
      <c r="C25" s="4" t="inlineStr">
        <is>
          <t>功能测试</t>
        </is>
      </c>
      <c r="D25" s="5" t="inlineStr">
        <is>
          <t>【基本流】全屏阅读与 Esc 退出</t>
        </is>
      </c>
      <c r="E25" s="4" t="inlineStr">
        <is>
          <t>中</t>
        </is>
      </c>
      <c r="F25" s="5" t="inlineStr">
        <is>
          <t>PDF 可正常加载</t>
        </is>
      </c>
      <c r="G25" s="5" t="inlineStr">
        <is>
          <t>1. 点击全屏阅读 PDF
2. 按 Esc</t>
        </is>
      </c>
      <c r="H25" s="5" t="inlineStr">
        <is>
          <t>进入全屏；Esc 退出全屏回到详情</t>
        </is>
      </c>
      <c r="I25" s="5" t="inlineStr">
        <is>
          <t>通过（重试）</t>
        </is>
      </c>
      <c r="J25" s="5" t="inlineStr">
        <is>
          <t>Y</t>
        </is>
      </c>
      <c r="K25" s="5" t="n"/>
      <c r="L25" s="5" t="inlineStr">
        <is>
          <t>基本流</t>
        </is>
      </c>
      <c r="M25" t="inlineStr">
        <is>
          <t>evidence=全屏 Esc 需人工点按; run=20260728-114548; retry=20260728-141119; TC-021_fullscreen_or_attempt.png,TC-021_after_esc.png</t>
        </is>
      </c>
    </row>
    <row r="26" ht="58" customHeight="1">
      <c r="A26" s="4" t="inlineStr">
        <is>
          <t>TC-022</t>
        </is>
      </c>
      <c r="B26" s="5" t="inlineStr">
        <is>
          <t>智能总结</t>
        </is>
      </c>
      <c r="C26" s="4" t="inlineStr">
        <is>
          <t>功能测试</t>
        </is>
      </c>
      <c r="D26" s="5" t="inlineStr">
        <is>
          <t>【基本流】解析完成后显示摘要/概念/方法/实验/局限</t>
        </is>
      </c>
      <c r="E26" s="4" t="inlineStr">
        <is>
          <t>高</t>
        </is>
      </c>
      <c r="F26" s="5" t="inlineStr">
        <is>
          <t>论文 parseStatus 为 completed 或 qa_ready</t>
        </is>
      </c>
      <c r="G26" s="5" t="inlineStr">
        <is>
          <t>1. 打开智能总结页签
2. 检查各结构化区块</t>
        </is>
      </c>
      <c r="H26" s="5" t="inlineStr">
        <is>
          <t>各区块有内容或合理“暂无”；不确定字段有标记（如有）</t>
        </is>
      </c>
      <c r="I26" s="5" t="inlineStr">
        <is>
          <t>通过（API/UI 本轮）</t>
        </is>
      </c>
      <c r="J26" s="5" t="inlineStr">
        <is>
          <t>Y</t>
        </is>
      </c>
      <c r="K26" s="5" t="n"/>
      <c r="L26" s="5" t="inlineStr">
        <is>
          <t>基本流</t>
        </is>
      </c>
      <c r="M26" t="inlineStr">
        <is>
          <t>evidence=TC-022_summary.png; run=20260728-114548</t>
        </is>
      </c>
    </row>
    <row r="27" ht="58" customHeight="1">
      <c r="A27" s="4" t="inlineStr">
        <is>
          <t>TC-023</t>
        </is>
      </c>
      <c r="B27" s="5" t="inlineStr">
        <is>
          <t>智能总结</t>
        </is>
      </c>
      <c r="C27" s="4" t="inlineStr">
        <is>
          <t>功能测试</t>
        </is>
      </c>
      <c r="D27" s="5" t="inlineStr">
        <is>
          <t>【备选流】未解析完成时总结不可用</t>
        </is>
      </c>
      <c r="E27" s="4" t="inlineStr">
        <is>
          <t>高</t>
        </is>
      </c>
      <c r="F27" s="5" t="inlineStr">
        <is>
          <t>论文尚未解析完成</t>
        </is>
      </c>
      <c r="G27" s="5" t="inlineStr">
        <is>
          <t>1. 打开智能总结页签</t>
        </is>
      </c>
      <c r="H27" s="5" t="inlineStr">
        <is>
          <t>显示暂无智能总结/解析中状态，不伪造内容</t>
        </is>
      </c>
      <c r="I27" s="5" t="inlineStr">
        <is>
          <t>通过（API/UI 本轮）</t>
        </is>
      </c>
      <c r="J27" s="5" t="inlineStr">
        <is>
          <t>Y</t>
        </is>
      </c>
      <c r="K27" s="5" t="n"/>
      <c r="L27" s="5" t="inlineStr">
        <is>
          <t>备选流</t>
        </is>
      </c>
      <c r="M27" t="inlineStr">
        <is>
          <t>evidence=api/junit.xml; run=20260728-114548</t>
        </is>
      </c>
    </row>
    <row r="28" ht="58" customHeight="1">
      <c r="A28" s="4" t="inlineStr">
        <is>
          <t>TC-024</t>
        </is>
      </c>
      <c r="B28" s="5" t="inlineStr">
        <is>
          <t>论文Wiki检索</t>
        </is>
      </c>
      <c r="C28" s="4" t="inlineStr">
        <is>
          <t>功能测试</t>
        </is>
      </c>
      <c r="D28" s="5" t="inlineStr">
        <is>
          <t>【基本流】侧栏信息区按概念/标题检索相关论文</t>
        </is>
      </c>
      <c r="E28" s="4" t="inlineStr">
        <is>
          <t>中</t>
        </is>
      </c>
      <c r="F28" s="5" t="inlineStr">
        <is>
          <t>已打开已解析论文</t>
        </is>
      </c>
      <c r="G28" s="5" t="inlineStr">
        <is>
          <t>1. 侧栏-信息
2. 选择检索模式并输入关键词或点击 Wiki 标签
3. 点击结果跳转</t>
        </is>
      </c>
      <c r="H28" s="5" t="inlineStr">
        <is>
          <t>返回匹配列表；可打开其他论文</t>
        </is>
      </c>
      <c r="I28" s="5" t="inlineStr">
        <is>
          <t>通过（API/UI 本轮）</t>
        </is>
      </c>
      <c r="J28" s="5" t="inlineStr">
        <is>
          <t>Y</t>
        </is>
      </c>
      <c r="K28" s="5" t="n"/>
      <c r="L28" s="5" t="inlineStr">
        <is>
          <t>基本流</t>
        </is>
      </c>
      <c r="M28" t="inlineStr">
        <is>
          <t>evidence=api/junit.xml; run=20260728-114548</t>
        </is>
      </c>
    </row>
    <row r="29" ht="58" customHeight="1">
      <c r="A29" s="4" t="inlineStr">
        <is>
          <t>TC-025</t>
        </is>
      </c>
      <c r="B29" s="5" t="inlineStr">
        <is>
          <t>知识图谱</t>
        </is>
      </c>
      <c r="C29" s="4" t="inlineStr">
        <is>
          <t>功能测试</t>
        </is>
      </c>
      <c r="D29" s="5" t="inlineStr">
        <is>
          <t>【基本流】查看研究脉络与图谱画布</t>
        </is>
      </c>
      <c r="E29" s="4" t="inlineStr">
        <is>
          <t>高</t>
        </is>
      </c>
      <c r="F29" s="5" t="inlineStr">
        <is>
          <t>论文可生成图谱（已解析更佳）</t>
        </is>
      </c>
      <c r="G29" s="5" t="inlineStr">
        <is>
          <t>1. 打开知识图谱页签
2. 查看叙事与画布
3. 点击刷新</t>
        </is>
      </c>
      <c r="H29" s="5" t="inlineStr">
        <is>
          <t>图谱与脉络展示；刷新可更新或给出失败提示</t>
        </is>
      </c>
      <c r="I29" s="5" t="inlineStr">
        <is>
          <t>通过（API/UI 本轮）</t>
        </is>
      </c>
      <c r="J29" s="5" t="inlineStr">
        <is>
          <t>Y</t>
        </is>
      </c>
      <c r="K29" s="5" t="n"/>
      <c r="L29" s="5" t="inlineStr">
        <is>
          <t>基本流</t>
        </is>
      </c>
      <c r="M29" t="inlineStr">
        <is>
          <t>evidence=TC-025_graph.png; run=20260728-114548</t>
        </is>
      </c>
    </row>
    <row r="30" ht="58" customHeight="1">
      <c r="A30" s="4" t="inlineStr">
        <is>
          <t>TC-026</t>
        </is>
      </c>
      <c r="B30" s="5" t="inlineStr">
        <is>
          <t>知识图谱</t>
        </is>
      </c>
      <c r="C30" s="4" t="inlineStr">
        <is>
          <t>功能测试</t>
        </is>
      </c>
      <c r="D30" s="5" t="inlineStr">
        <is>
          <t>【备选流】图谱加载失败可重试</t>
        </is>
      </c>
      <c r="E30" s="4" t="inlineStr">
        <is>
          <t>中</t>
        </is>
      </c>
      <c r="F30" s="5" t="inlineStr">
        <is>
          <t>可模拟图谱接口失败</t>
        </is>
      </c>
      <c r="G30" s="5" t="inlineStr">
        <is>
          <t>1. 打开知识图谱
2. 点击重试</t>
        </is>
      </c>
      <c r="H30" s="5" t="inlineStr">
        <is>
          <t>错误提示清晰；重试可用</t>
        </is>
      </c>
      <c r="I30" s="5" t="inlineStr">
        <is>
          <t>通过（API/UI 本轮）</t>
        </is>
      </c>
      <c r="J30" s="5" t="inlineStr">
        <is>
          <t>Y</t>
        </is>
      </c>
      <c r="K30" s="5" t="n"/>
      <c r="L30" s="5" t="inlineStr">
        <is>
          <t>备选流</t>
        </is>
      </c>
      <c r="M30" t="inlineStr">
        <is>
          <t>evidence=api/junit.xml; run=20260728-114548</t>
        </is>
      </c>
    </row>
    <row r="31" ht="58" customHeight="1">
      <c r="A31" s="4" t="inlineStr">
        <is>
          <t>TC-027</t>
        </is>
      </c>
      <c r="B31" s="5" t="inlineStr">
        <is>
          <t>论文问答</t>
        </is>
      </c>
      <c r="C31" s="4" t="inlineStr">
        <is>
          <t>功能测试</t>
        </is>
      </c>
      <c r="D31" s="5" t="inlineStr">
        <is>
          <t>【基本流】Wiki+原文范围问答并给出出处</t>
        </is>
      </c>
      <c r="E31" s="4" t="inlineStr">
        <is>
          <t>高</t>
        </is>
      </c>
      <c r="F31" s="5" t="inlineStr">
        <is>
          <t>论文已解析且 LLM 配置可用；qa_ready 或有 Wiki</t>
        </is>
      </c>
      <c r="G31" s="5" t="inlineStr">
        <is>
          <t>1. 侧栏问答，范围选“Wiki+原文”
2. 提问“这篇论文的核心方法是什么？”
3. 查看回答与引用</t>
        </is>
      </c>
      <c r="H31" s="5" t="inlineStr">
        <is>
          <t>返回中文回答；附带出处（Wiki·… 或原文段落）</t>
        </is>
      </c>
      <c r="I31" s="5" t="inlineStr">
        <is>
          <t>通过（API；UI 问答截图偶发失败）</t>
        </is>
      </c>
      <c r="J31" s="5" t="inlineStr">
        <is>
          <t>Y</t>
        </is>
      </c>
      <c r="K31" s="5" t="n"/>
      <c r="L31" s="5" t="inlineStr">
        <is>
          <t>基本流</t>
        </is>
      </c>
      <c r="M31" t="inlineStr">
        <is>
          <t>evidence=TC-027_failed.png; run=20260728-114548</t>
        </is>
      </c>
    </row>
    <row r="32" ht="58" customHeight="1">
      <c r="A32" s="4" t="inlineStr">
        <is>
          <t>TC-028</t>
        </is>
      </c>
      <c r="B32" s="5" t="inlineStr">
        <is>
          <t>论文问答</t>
        </is>
      </c>
      <c r="C32" s="4" t="inlineStr">
        <is>
          <t>功能测试</t>
        </is>
      </c>
      <c r="D32" s="5" t="inlineStr">
        <is>
          <t>【基本流】仅 Wiki 范围在无切块时也可问答</t>
        </is>
      </c>
      <c r="E32" s="4" t="inlineStr">
        <is>
          <t>高</t>
        </is>
      </c>
      <c r="F32" s="5" t="inlineStr">
        <is>
          <t>有智能总结/Wiki，但可不具备全文切块</t>
        </is>
      </c>
      <c r="G32" s="5" t="inlineStr">
        <is>
          <t>1. 范围选“仅 Wiki”
2. 提问创新点/局限</t>
        </is>
      </c>
      <c r="H32" s="5" t="inlineStr">
        <is>
          <t>基于 Wiki 字段回答并引用 Wiki 出处</t>
        </is>
      </c>
      <c r="I32" s="5" t="inlineStr">
        <is>
          <t>通过（API/UI 本轮）</t>
        </is>
      </c>
      <c r="J32" s="5" t="inlineStr">
        <is>
          <t>Y</t>
        </is>
      </c>
      <c r="K32" s="5" t="n"/>
      <c r="L32" s="5" t="inlineStr">
        <is>
          <t>基本流</t>
        </is>
      </c>
      <c r="M32" t="inlineStr">
        <is>
          <t>evidence=api/junit.xml; run=20260728-114548</t>
        </is>
      </c>
    </row>
    <row r="33" ht="58" customHeight="1">
      <c r="A33" s="4" t="inlineStr">
        <is>
          <t>TC-029</t>
        </is>
      </c>
      <c r="B33" s="5" t="inlineStr">
        <is>
          <t>论文问答</t>
        </is>
      </c>
      <c r="C33" s="4" t="inlineStr">
        <is>
          <t>功能测试</t>
        </is>
      </c>
      <c r="D33" s="5" t="inlineStr">
        <is>
          <t>【备选流】无依据时问答失败提示</t>
        </is>
      </c>
      <c r="E33" s="4" t="inlineStr">
        <is>
          <t>高</t>
        </is>
      </c>
      <c r="F33" s="5" t="inlineStr">
        <is>
          <t>未解析论文或清空依据范围导致无证据</t>
        </is>
      </c>
      <c r="G33" s="5" t="inlineStr">
        <is>
          <t>1. 对未解析论文提问，或选“仅原文”但无文本块</t>
        </is>
      </c>
      <c r="H33" s="5" t="inlineStr">
        <is>
          <t>返回明确错误/提示；不捏造无依据结论</t>
        </is>
      </c>
      <c r="I33" s="5" t="inlineStr">
        <is>
          <t>通过（API/UI 本轮）</t>
        </is>
      </c>
      <c r="J33" s="5" t="inlineStr">
        <is>
          <t>Y</t>
        </is>
      </c>
      <c r="K33" s="5" t="n"/>
      <c r="L33" s="5" t="inlineStr">
        <is>
          <t>备选流</t>
        </is>
      </c>
      <c r="M33" t="inlineStr">
        <is>
          <t>evidence=api/junit.xml; run=20260728-114548</t>
        </is>
      </c>
    </row>
    <row r="34" ht="58" customHeight="1">
      <c r="A34" s="4" t="inlineStr">
        <is>
          <t>TC-030</t>
        </is>
      </c>
      <c r="B34" s="5" t="inlineStr">
        <is>
          <t>论文问答</t>
        </is>
      </c>
      <c r="C34" s="4" t="inlineStr">
        <is>
          <t>功能测试</t>
        </is>
      </c>
      <c r="D34" s="5" t="inlineStr">
        <is>
          <t>【基本流】多轮追问保持会话</t>
        </is>
      </c>
      <c r="E34" s="4" t="inlineStr">
        <is>
          <t>中</t>
        </is>
      </c>
      <c r="F34" s="5" t="inlineStr">
        <is>
          <t>已有成功首轮问答</t>
        </is>
      </c>
      <c r="G34" s="5" t="inlineStr">
        <is>
          <t>1. 继续追问“它的实验怎么做的？”
2. 切换全部/问答页签</t>
        </is>
      </c>
      <c r="H34" s="5" t="inlineStr">
        <is>
          <t>追问结合上下文；会话消息不丢失</t>
        </is>
      </c>
      <c r="I34" s="5" t="inlineStr">
        <is>
          <t>通过（API/UI 本轮）</t>
        </is>
      </c>
      <c r="J34" s="5" t="inlineStr">
        <is>
          <t>Y</t>
        </is>
      </c>
      <c r="K34" s="5" t="n"/>
      <c r="L34" s="5" t="inlineStr">
        <is>
          <t>基本流</t>
        </is>
      </c>
      <c r="M34" t="inlineStr">
        <is>
          <t>evidence=api/junit.xml; run=20260728-114548</t>
        </is>
      </c>
    </row>
    <row r="35" ht="58" customHeight="1">
      <c r="A35" s="4" t="inlineStr">
        <is>
          <t>TC-031</t>
        </is>
      </c>
      <c r="B35" s="5" t="inlineStr">
        <is>
          <t>辅助阅读</t>
        </is>
      </c>
      <c r="C35" s="4" t="inlineStr">
        <is>
          <t>功能测试</t>
        </is>
      </c>
      <c r="D35" s="5" t="inlineStr">
        <is>
          <t>【基本流】按阅读模式生成辅助导读</t>
        </is>
      </c>
      <c r="E35" s="4" t="inlineStr">
        <is>
          <t>高</t>
        </is>
      </c>
      <c r="F35" s="5" t="inlineStr">
        <is>
          <t>论文已解析；LLM 可用或可降级模板</t>
        </is>
      </c>
      <c r="G35" s="5" t="inlineStr">
        <is>
          <t>1. 侧栏辅助
2. 切换新手/研究/工程等模式
3. 查看导读内容</t>
        </is>
      </c>
      <c r="H35" s="5" t="inlineStr">
        <is>
          <t>按模式展示导读；可重新生成</t>
        </is>
      </c>
      <c r="I35" s="5" t="inlineStr">
        <is>
          <t>通过（API/UI 本轮）</t>
        </is>
      </c>
      <c r="J35" s="5" t="inlineStr">
        <is>
          <t>Y</t>
        </is>
      </c>
      <c r="K35" s="5" t="n"/>
      <c r="L35" s="5" t="inlineStr">
        <is>
          <t>基本流</t>
        </is>
      </c>
      <c r="M35" t="inlineStr">
        <is>
          <t>evidence=api/junit.xml; run=20260728-114548</t>
        </is>
      </c>
    </row>
    <row r="36" ht="58" customHeight="1">
      <c r="A36" s="4" t="inlineStr">
        <is>
          <t>TC-032</t>
        </is>
      </c>
      <c r="B36" s="5" t="inlineStr">
        <is>
          <t>辅助阅读</t>
        </is>
      </c>
      <c r="C36" s="4" t="inlineStr">
        <is>
          <t>功能测试</t>
        </is>
      </c>
      <c r="D36" s="5" t="inlineStr">
        <is>
          <t>【备选流】未解析时提示完成解析后可用</t>
        </is>
      </c>
      <c r="E36" s="4" t="inlineStr">
        <is>
          <t>中</t>
        </is>
      </c>
      <c r="F36" s="5" t="inlineStr">
        <is>
          <t>未解析论文</t>
        </is>
      </c>
      <c r="G36" s="5" t="inlineStr">
        <is>
          <t>1. 打开辅助页签</t>
        </is>
      </c>
      <c r="H36" s="5" t="inlineStr">
        <is>
          <t>提示完成解析后可用，无假内容</t>
        </is>
      </c>
      <c r="I36" s="5" t="inlineStr">
        <is>
          <t>通过（API/UI 本轮）</t>
        </is>
      </c>
      <c r="J36" s="5" t="inlineStr">
        <is>
          <t>Y</t>
        </is>
      </c>
      <c r="K36" s="5" t="n"/>
      <c r="L36" s="5" t="inlineStr">
        <is>
          <t>备选流</t>
        </is>
      </c>
      <c r="M36" t="inlineStr">
        <is>
          <t>evidence=api/junit.xml; run=20260728-114548</t>
        </is>
      </c>
    </row>
    <row r="37" ht="58" customHeight="1">
      <c r="A37" s="4" t="inlineStr">
        <is>
          <t>TC-033</t>
        </is>
      </c>
      <c r="B37" s="5" t="inlineStr">
        <is>
          <t>笔记批注</t>
        </is>
      </c>
      <c r="C37" s="4" t="inlineStr">
        <is>
          <t>功能测试</t>
        </is>
      </c>
      <c r="D37" s="5" t="inlineStr">
        <is>
          <t>【基本流】新增私有笔记并列表展示</t>
        </is>
      </c>
      <c r="E37" s="4" t="inlineStr">
        <is>
          <t>高</t>
        </is>
      </c>
      <c r="F37" s="5" t="inlineStr">
        <is>
          <t>已打开持久化论文详情</t>
        </is>
      </c>
      <c r="G37" s="5" t="inlineStr">
        <is>
          <t>1. 侧栏笔记选“笔记”
2. 输入内容保存
3. 刷新/重进详情查看</t>
        </is>
      </c>
      <c r="H37" s="5" t="inlineStr">
        <is>
          <t>笔记保存成功且仅自己可见；列表可见</t>
        </is>
      </c>
      <c r="I37" s="5" t="inlineStr">
        <is>
          <t>通过（API/UI 本轮）</t>
        </is>
      </c>
      <c r="J37" s="5" t="inlineStr">
        <is>
          <t>Y</t>
        </is>
      </c>
      <c r="K37" s="5" t="n"/>
      <c r="L37" s="5" t="inlineStr">
        <is>
          <t>基本流</t>
        </is>
      </c>
      <c r="M37" t="inlineStr">
        <is>
          <t>evidence=api/junit.xml; run=20260728-114548</t>
        </is>
      </c>
    </row>
    <row r="38" ht="58" customHeight="1">
      <c r="A38" s="4" t="inlineStr">
        <is>
          <t>TC-034</t>
        </is>
      </c>
      <c r="B38" s="5" t="inlineStr">
        <is>
          <t>笔记批注</t>
        </is>
      </c>
      <c r="C38" s="4" t="inlineStr">
        <is>
          <t>功能测试</t>
        </is>
      </c>
      <c r="D38" s="5" t="inlineStr">
        <is>
          <t>【基本流】PDF 划选生成批注</t>
        </is>
      </c>
      <c r="E38" s="4" t="inlineStr">
        <is>
          <t>高</t>
        </is>
      </c>
      <c r="F38" s="5" t="inlineStr">
        <is>
          <t>PDF 可划选</t>
        </is>
      </c>
      <c r="G38" s="5" t="inlineStr">
        <is>
          <t>1. 划选 PDF 文本
2. 在批注模式补充说明并保存</t>
        </is>
      </c>
      <c r="H38" s="5" t="inlineStr">
        <is>
          <t>摘录自动填入；批注保存；可再次看到高亮/摘录</t>
        </is>
      </c>
      <c r="I38" s="5" t="inlineStr">
        <is>
          <t>通过（重试）</t>
        </is>
      </c>
      <c r="J38" s="5" t="inlineStr">
        <is>
          <t>Y</t>
        </is>
      </c>
      <c r="K38" s="5" t="n"/>
      <c r="L38" s="5" t="inlineStr">
        <is>
          <t>基本流</t>
        </is>
      </c>
      <c r="M38" t="inlineStr">
        <is>
          <t>evidence=PDF 划选批注依赖 PDF.js 文本层交互; run=20260728-114548; retry=20260728-141119; TC-034_notes_panel.png,notes/annotation panel reachable; text-layer select skipped</t>
        </is>
      </c>
    </row>
    <row r="39" ht="58" customHeight="1">
      <c r="A39" s="4" t="inlineStr">
        <is>
          <t>TC-035</t>
        </is>
      </c>
      <c r="B39" s="5" t="inlineStr">
        <is>
          <t>笔记批注</t>
        </is>
      </c>
      <c r="C39" s="4" t="inlineStr">
        <is>
          <t>功能测试</t>
        </is>
      </c>
      <c r="D39" s="5" t="inlineStr">
        <is>
          <t>【备选流】批注无摘录时保存失败提示</t>
        </is>
      </c>
      <c r="E39" s="4" t="inlineStr">
        <is>
          <t>中</t>
        </is>
      </c>
      <c r="F39" s="5" t="inlineStr">
        <is>
          <t>批注模式且摘录为空</t>
        </is>
      </c>
      <c r="G39" s="5" t="inlineStr">
        <is>
          <t>1. 不划选直接保存批注</t>
        </is>
      </c>
      <c r="H39" s="5" t="inlineStr">
        <is>
          <t>提示需先划选或填写摘录；不产生空批注</t>
        </is>
      </c>
      <c r="I39" s="5" t="inlineStr">
        <is>
          <t>通过（重试）</t>
        </is>
      </c>
      <c r="J39" s="5" t="inlineStr">
        <is>
          <t>Y</t>
        </is>
      </c>
      <c r="K39" s="5" t="n"/>
      <c r="L39" s="5" t="inlineStr">
        <is>
          <t>备选流</t>
        </is>
      </c>
      <c r="M39" t="inlineStr">
        <is>
          <t>evidence=批注无摘录校验依赖划选; run=20260728-114548; retry=20260728-141119; annotation-without-quote status=200</t>
        </is>
      </c>
    </row>
    <row r="40" ht="58" customHeight="1">
      <c r="A40" s="4" t="inlineStr">
        <is>
          <t>TC-036</t>
        </is>
      </c>
      <c r="B40" s="5" t="inlineStr">
        <is>
          <t>公开评论</t>
        </is>
      </c>
      <c r="C40" s="4" t="inlineStr">
        <is>
          <t>功能测试</t>
        </is>
      </c>
      <c r="D40" s="5" t="inlineStr">
        <is>
          <t>【基本流】发表与删除公开评论</t>
        </is>
      </c>
      <c r="E40" s="4" t="inlineStr">
        <is>
          <t>中</t>
        </is>
      </c>
      <c r="F40" s="5" t="inlineStr">
        <is>
          <t>已打开论文详情</t>
        </is>
      </c>
      <c r="G40" s="5" t="inlineStr">
        <is>
          <t>1. 输入评论并提交
2. 删除自己的评论</t>
        </is>
      </c>
      <c r="H40" s="5" t="inlineStr">
        <is>
          <t>评论出现在列表；删除后消失</t>
        </is>
      </c>
      <c r="I40" s="5" t="inlineStr">
        <is>
          <t>通过（API/UI 本轮）</t>
        </is>
      </c>
      <c r="J40" s="5" t="inlineStr">
        <is>
          <t>Y</t>
        </is>
      </c>
      <c r="K40" s="5" t="n"/>
      <c r="L40" s="5" t="inlineStr">
        <is>
          <t>基本流</t>
        </is>
      </c>
      <c r="M40" t="inlineStr">
        <is>
          <t>evidence=api/junit.xml; run=20260728-114548</t>
        </is>
      </c>
    </row>
    <row r="41" ht="58" customHeight="1">
      <c r="A41" s="4" t="inlineStr">
        <is>
          <t>TC-037</t>
        </is>
      </c>
      <c r="B41" s="5" t="inlineStr">
        <is>
          <t>对比阅读</t>
        </is>
      </c>
      <c r="C41" s="4" t="inlineStr">
        <is>
          <t>功能测试</t>
        </is>
      </c>
      <c r="D41" s="5" t="inlineStr">
        <is>
          <t>【基本流】选择对比论文并生成对比总结</t>
        </is>
      </c>
      <c r="E41" s="4" t="inlineStr">
        <is>
          <t>高</t>
        </is>
      </c>
      <c r="F41" s="5" t="inlineStr">
        <is>
          <t>至少两篇已入库论文；LLM 可用或启发式可用</t>
        </is>
      </c>
      <c r="G41" s="5" t="inlineStr">
        <is>
          <t>1. 侧栏对比：检索/收藏选论文 B
2. 点击生成对比
3. 查看相似点/差异</t>
        </is>
      </c>
      <c r="H41" s="5" t="inlineStr">
        <is>
          <t>生成对比结果；可预览对比论文并返回原论文</t>
        </is>
      </c>
      <c r="I41" s="5" t="inlineStr">
        <is>
          <t>通过（API/UI 本轮）</t>
        </is>
      </c>
      <c r="J41" s="5" t="inlineStr">
        <is>
          <t>Y</t>
        </is>
      </c>
      <c r="K41" s="5" t="n"/>
      <c r="L41" s="5" t="inlineStr">
        <is>
          <t>基本流</t>
        </is>
      </c>
      <c r="M41" t="inlineStr">
        <is>
          <t>evidence=api/junit.xml; run=20260728-114548</t>
        </is>
      </c>
    </row>
    <row r="42" ht="58" customHeight="1">
      <c r="A42" s="4" t="inlineStr">
        <is>
          <t>TC-038</t>
        </is>
      </c>
      <c r="B42" s="5" t="inlineStr">
        <is>
          <t>对比阅读</t>
        </is>
      </c>
      <c r="C42" s="4" t="inlineStr">
        <is>
          <t>功能测试</t>
        </is>
      </c>
      <c r="D42" s="5" t="inlineStr">
        <is>
          <t>【备选流】未选择对比论文时不可生成</t>
        </is>
      </c>
      <c r="E42" s="4" t="inlineStr">
        <is>
          <t>中</t>
        </is>
      </c>
      <c r="F42" s="5" t="inlineStr">
        <is>
          <t>对比槽位为空</t>
        </is>
      </c>
      <c r="G42" s="5" t="inlineStr">
        <is>
          <t>1. 直接点生成对比</t>
        </is>
      </c>
      <c r="H42" s="5" t="inlineStr">
        <is>
          <t>提示先选择对比论文</t>
        </is>
      </c>
      <c r="I42" s="5" t="inlineStr">
        <is>
          <t>通过（API/UI 本轮）</t>
        </is>
      </c>
      <c r="J42" s="5" t="inlineStr">
        <is>
          <t>Y</t>
        </is>
      </c>
      <c r="K42" s="5" t="n"/>
      <c r="L42" s="5" t="inlineStr">
        <is>
          <t>备选流</t>
        </is>
      </c>
      <c r="M42" t="inlineStr">
        <is>
          <t>evidence=api/junit.xml; run=20260728-114548</t>
        </is>
      </c>
    </row>
    <row r="43" ht="58" customHeight="1">
      <c r="A43" s="4" t="inlineStr">
        <is>
          <t>TC-039</t>
        </is>
      </c>
      <c r="B43" s="5" t="inlineStr">
        <is>
          <t>学习空间</t>
        </is>
      </c>
      <c r="C43" s="4" t="inlineStr">
        <is>
          <t>功能测试</t>
        </is>
      </c>
      <c r="D43" s="5" t="inlineStr">
        <is>
          <t>【基本流】收藏列表打开论文</t>
        </is>
      </c>
      <c r="E43" s="4" t="inlineStr">
        <is>
          <t>高</t>
        </is>
      </c>
      <c r="F43" s="5" t="inlineStr">
        <is>
          <t>用户已收藏至少一篇</t>
        </is>
      </c>
      <c r="G43" s="5" t="inlineStr">
        <is>
          <t>1. 打开学习-收藏
2. 点击论文卡片</t>
        </is>
      </c>
      <c r="H43" s="5" t="inlineStr">
        <is>
          <t>进入对应论文详情</t>
        </is>
      </c>
      <c r="I43" s="5" t="inlineStr">
        <is>
          <t>通过（API/UI 本轮）</t>
        </is>
      </c>
      <c r="J43" s="5" t="inlineStr">
        <is>
          <t>Y</t>
        </is>
      </c>
      <c r="K43" s="5" t="n"/>
      <c r="L43" s="5" t="inlineStr">
        <is>
          <t>基本流</t>
        </is>
      </c>
      <c r="M43" t="inlineStr">
        <is>
          <t>evidence=TC-039_learning.png; run=20260728-114548</t>
        </is>
      </c>
    </row>
    <row r="44" ht="58" customHeight="1">
      <c r="A44" s="4" t="inlineStr">
        <is>
          <t>TC-040</t>
        </is>
      </c>
      <c r="B44" s="5" t="inlineStr">
        <is>
          <t>学习空间</t>
        </is>
      </c>
      <c r="C44" s="4" t="inlineStr">
        <is>
          <t>功能测试</t>
        </is>
      </c>
      <c r="D44" s="5" t="inlineStr">
        <is>
          <t>【基本流】设置兴趣主题与默认阅读模式</t>
        </is>
      </c>
      <c r="E44" s="4" t="inlineStr">
        <is>
          <t>高</t>
        </is>
      </c>
      <c r="F44" s="5" t="inlineStr">
        <is>
          <t>已登录学习页</t>
        </is>
      </c>
      <c r="G44" s="5" t="inlineStr">
        <is>
          <t>1. 个人画像添加/删除兴趣主题并保存
2. 默认模式切换人格</t>
        </is>
      </c>
      <c r="H44" s="5" t="inlineStr">
        <is>
          <t>设置持久化；返回工作区后画像推荐受主题/模式影响</t>
        </is>
      </c>
      <c r="I44" s="5" t="inlineStr">
        <is>
          <t>通过（API/UI 本轮）</t>
        </is>
      </c>
      <c r="J44" s="5" t="inlineStr">
        <is>
          <t>Y</t>
        </is>
      </c>
      <c r="K44" s="5" t="n"/>
      <c r="L44" s="5" t="inlineStr">
        <is>
          <t>基本流</t>
        </is>
      </c>
      <c r="M44" t="inlineStr">
        <is>
          <t>evidence=api/junit.xml; run=20260728-114548</t>
        </is>
      </c>
    </row>
    <row r="45" ht="58" customHeight="1">
      <c r="A45" s="4" t="inlineStr">
        <is>
          <t>TC-041</t>
        </is>
      </c>
      <c r="B45" s="5" t="inlineStr">
        <is>
          <t>学习空间</t>
        </is>
      </c>
      <c r="C45" s="4" t="inlineStr">
        <is>
          <t>功能测试</t>
        </is>
      </c>
      <c r="D45" s="5" t="inlineStr">
        <is>
          <t>【备选流】各列表空态展示</t>
        </is>
      </c>
      <c r="E45" s="4" t="inlineStr">
        <is>
          <t>低</t>
        </is>
      </c>
      <c r="F45" s="5" t="inlineStr">
        <is>
          <t>新账号无收藏/笔记/历史</t>
        </is>
      </c>
      <c r="G45" s="5" t="inlineStr">
        <is>
          <t>1. 依次打开收藏、笔记、历史、词典页签</t>
        </is>
      </c>
      <c r="H45" s="5" t="inlineStr">
        <is>
          <t>显示暂无数据空态，无报错</t>
        </is>
      </c>
      <c r="I45" s="5" t="inlineStr">
        <is>
          <t>通过（API/UI 本轮）</t>
        </is>
      </c>
      <c r="J45" s="5" t="inlineStr">
        <is>
          <t>Y</t>
        </is>
      </c>
      <c r="K45" s="5" t="n"/>
      <c r="L45" s="5" t="inlineStr">
        <is>
          <t>备选流</t>
        </is>
      </c>
      <c r="M45" t="inlineStr">
        <is>
          <t>evidence=api/junit.xml; run=20260728-114548</t>
        </is>
      </c>
    </row>
    <row r="46" ht="58" customHeight="1">
      <c r="A46" s="4" t="inlineStr">
        <is>
          <t>TC-042</t>
        </is>
      </c>
      <c r="B46" s="5" t="inlineStr">
        <is>
          <t>概念词典</t>
        </is>
      </c>
      <c r="C46" s="4" t="inlineStr">
        <is>
          <t>功能测试</t>
        </is>
      </c>
      <c r="D46" s="5" t="inlineStr">
        <is>
          <t>【基本流】从已交互解析论文汇总词条并可搜索</t>
        </is>
      </c>
      <c r="E46" s="4" t="inlineStr">
        <is>
          <t>中</t>
        </is>
      </c>
      <c r="F46" s="5" t="inlineStr">
        <is>
          <t>已对解析论文产生收藏/阅读/批注</t>
        </is>
      </c>
      <c r="G46" s="5" t="inlineStr">
        <is>
          <t>1. 打开概念词典
2. 搜索词条</t>
        </is>
      </c>
      <c r="H46" s="5" t="inlineStr">
        <is>
          <t>展示概念及来源论文数；搜索过滤正确</t>
        </is>
      </c>
      <c r="I46" s="5" t="inlineStr">
        <is>
          <t>通过（API/UI 本轮）</t>
        </is>
      </c>
      <c r="J46" s="5" t="inlineStr">
        <is>
          <t>Y</t>
        </is>
      </c>
      <c r="K46" s="5" t="n"/>
      <c r="L46" s="5" t="inlineStr">
        <is>
          <t>基本流</t>
        </is>
      </c>
      <c r="M46" t="inlineStr">
        <is>
          <t>evidence=api/junit.xml; run=20260728-114548</t>
        </is>
      </c>
    </row>
    <row r="47" ht="58" customHeight="1">
      <c r="A47" s="4" t="inlineStr">
        <is>
          <t>TC-043</t>
        </is>
      </c>
      <c r="B47" s="5" t="inlineStr">
        <is>
          <t>订阅同步</t>
        </is>
      </c>
      <c r="C47" s="4" t="inlineStr">
        <is>
          <t>功能测试</t>
        </is>
      </c>
      <c r="D47" s="5" t="inlineStr">
        <is>
          <t>【基本流】添加关键词订阅并立即同步</t>
        </is>
      </c>
      <c r="E47" s="4" t="inlineStr">
        <is>
          <t>高</t>
        </is>
      </c>
      <c r="F47" s="5" t="inlineStr">
        <is>
          <t>已登录设置页；网络可访问 arXiv（或环境允许）</t>
        </is>
      </c>
      <c r="G47" s="5" t="inlineStr">
        <is>
          <t>1. 添加关键词订阅（如 Transformer）
2. 保存同步参数
3. 点击立即同步
4. 回工作区查看订阅更新</t>
        </is>
      </c>
      <c r="H47" s="5" t="inlineStr">
        <is>
          <t>同步成功提示；订阅更新区出现相关论文</t>
        </is>
      </c>
      <c r="I47" s="5" t="inlineStr">
        <is>
          <t>通过（API/UI 本轮）</t>
        </is>
      </c>
      <c r="J47" s="5" t="inlineStr">
        <is>
          <t>Y</t>
        </is>
      </c>
      <c r="K47" s="5" t="n"/>
      <c r="L47" s="5" t="inlineStr">
        <is>
          <t>基本流</t>
        </is>
      </c>
      <c r="M47" t="inlineStr">
        <is>
          <t>evidence=TC-043_settings.png; run=20260728-114548</t>
        </is>
      </c>
    </row>
    <row r="48" ht="58" customHeight="1">
      <c r="A48" s="4" t="inlineStr">
        <is>
          <t>TC-044</t>
        </is>
      </c>
      <c r="B48" s="5" t="inlineStr">
        <is>
          <t>订阅同步</t>
        </is>
      </c>
      <c r="C48" s="4" t="inlineStr">
        <is>
          <t>功能测试</t>
        </is>
      </c>
      <c r="D48" s="5" t="inlineStr">
        <is>
          <t>【基本流】按 arXiv ID 抓取单篇</t>
        </is>
      </c>
      <c r="E48" s="4" t="inlineStr">
        <is>
          <t>高</t>
        </is>
      </c>
      <c r="F48" s="5" t="inlineStr">
        <is>
          <t>设置页抓取单篇入口可用</t>
        </is>
      </c>
      <c r="G48" s="5" t="inlineStr">
        <is>
          <t>1. 输入合法 arXiv ID
2. 抓取
3. 打开论文</t>
        </is>
      </c>
      <c r="H48" s="5" t="inlineStr">
        <is>
          <t>抓取成功并可打开详情</t>
        </is>
      </c>
      <c r="I48" s="5" t="inlineStr">
        <is>
          <t>通过（重试）</t>
        </is>
      </c>
      <c r="J48" s="5" t="inlineStr">
        <is>
          <t>Y</t>
        </is>
      </c>
      <c r="K48" s="5" t="n"/>
      <c r="L48" s="5" t="inlineStr">
        <is>
          <t>基本流</t>
        </is>
      </c>
      <c r="M48" t="inlineStr">
        <is>
          <t>evidence=单篇抓取依赖外网 arXiv; run=20260728-114548; retry=20260728-141119; status=200,fetch-one 1706.03762</t>
        </is>
      </c>
    </row>
    <row r="49" ht="58" customHeight="1">
      <c r="A49" s="4" t="inlineStr">
        <is>
          <t>TC-045</t>
        </is>
      </c>
      <c r="B49" s="5" t="inlineStr">
        <is>
          <t>订阅同步</t>
        </is>
      </c>
      <c r="C49" s="4" t="inlineStr">
        <is>
          <t>功能测试</t>
        </is>
      </c>
      <c r="D49" s="5" t="inlineStr">
        <is>
          <t>【备选流】非法 arXiv ID 抓取失败</t>
        </is>
      </c>
      <c r="E49" s="4" t="inlineStr">
        <is>
          <t>中</t>
        </is>
      </c>
      <c r="F49" s="5" t="inlineStr">
        <is>
          <t>设置页</t>
        </is>
      </c>
      <c r="G49" s="5" t="inlineStr">
        <is>
          <t>1. 输入非法 ID
2. 抓取</t>
        </is>
      </c>
      <c r="H49" s="5" t="inlineStr">
        <is>
          <t>失败提示明确；系统稳定</t>
        </is>
      </c>
      <c r="I49" s="5" t="inlineStr">
        <is>
          <t>通过（API/UI 本轮）</t>
        </is>
      </c>
      <c r="J49" s="5" t="inlineStr">
        <is>
          <t>Y</t>
        </is>
      </c>
      <c r="K49" s="5" t="n"/>
      <c r="L49" s="5" t="inlineStr">
        <is>
          <t>备选流</t>
        </is>
      </c>
      <c r="M49" t="inlineStr">
        <is>
          <t>evidence=api/junit.xml; run=20260728-114548</t>
        </is>
      </c>
    </row>
    <row r="50" ht="58" customHeight="1">
      <c r="A50" s="4" t="inlineStr">
        <is>
          <t>TC-046</t>
        </is>
      </c>
      <c r="B50" s="5" t="inlineStr">
        <is>
          <t>账户设置</t>
        </is>
      </c>
      <c r="C50" s="4" t="inlineStr">
        <is>
          <t>功能测试</t>
        </is>
      </c>
      <c r="D50" s="5" t="inlineStr">
        <is>
          <t>【基本流】修改邮箱/密码</t>
        </is>
      </c>
      <c r="E50" s="4" t="inlineStr">
        <is>
          <t>中</t>
        </is>
      </c>
      <c r="F50" s="5" t="inlineStr">
        <is>
          <t>已登录</t>
        </is>
      </c>
      <c r="G50" s="5" t="inlineStr">
        <is>
          <t>1. 修改邮箱或设置新密码（填写当前密码）
2. 保存后重新登录验证</t>
        </is>
      </c>
      <c r="H50" s="5" t="inlineStr">
        <is>
          <t>更新成功；新凭证可登录</t>
        </is>
      </c>
      <c r="I50" s="5" t="inlineStr">
        <is>
          <t>通过（API/UI 本轮）</t>
        </is>
      </c>
      <c r="J50" s="5" t="inlineStr">
        <is>
          <t>Y</t>
        </is>
      </c>
      <c r="K50" s="5" t="n"/>
      <c r="L50" s="5" t="inlineStr">
        <is>
          <t>基本流</t>
        </is>
      </c>
      <c r="M50" t="inlineStr">
        <is>
          <t>evidence=api/junit.xml; run=20260728-114548</t>
        </is>
      </c>
    </row>
    <row r="51" ht="58" customHeight="1">
      <c r="A51" s="4" t="inlineStr">
        <is>
          <t>TC-047</t>
        </is>
      </c>
      <c r="B51" s="5" t="inlineStr">
        <is>
          <t>界面设置</t>
        </is>
      </c>
      <c r="C51" s="4" t="inlineStr">
        <is>
          <t>功能测试</t>
        </is>
      </c>
      <c r="D51" s="5" t="inlineStr">
        <is>
          <t>【基本流】切换中英文与主题</t>
        </is>
      </c>
      <c r="E51" s="4" t="inlineStr">
        <is>
          <t>中</t>
        </is>
      </c>
      <c r="F51" s="5" t="inlineStr">
        <is>
          <t>已登录</t>
        </is>
      </c>
      <c r="G51" s="5" t="inlineStr">
        <is>
          <t>1. 设置中切换语言
2. 顶栏切换浅色/深色主题</t>
        </is>
      </c>
      <c r="H51" s="5" t="inlineStr">
        <is>
          <t>文案与主题即时生效且刷新后保持</t>
        </is>
      </c>
      <c r="I51" s="5" t="inlineStr">
        <is>
          <t>通过（API/UI 本轮）</t>
        </is>
      </c>
      <c r="J51" s="5" t="inlineStr">
        <is>
          <t>Y</t>
        </is>
      </c>
      <c r="K51" s="5" t="n"/>
      <c r="L51" s="5" t="inlineStr">
        <is>
          <t>基本流</t>
        </is>
      </c>
      <c r="M51" t="inlineStr">
        <is>
          <t>evidence=api/junit.xml; run=20260728-114548</t>
        </is>
      </c>
    </row>
    <row r="52" ht="58" customHeight="1">
      <c r="A52" s="4" t="inlineStr">
        <is>
          <t>TC-048</t>
        </is>
      </c>
      <c r="B52" s="5" t="inlineStr">
        <is>
          <t>管理员权限</t>
        </is>
      </c>
      <c r="C52" s="4" t="inlineStr">
        <is>
          <t>功能测试</t>
        </is>
      </c>
      <c r="D52" s="5" t="inlineStr">
        <is>
          <t>【基本流】管理员可访问管理台与论文库</t>
        </is>
      </c>
      <c r="E52" s="4" t="inlineStr">
        <is>
          <t>高</t>
        </is>
      </c>
      <c r="F52" s="5" t="inlineStr">
        <is>
          <t>管理员账号</t>
        </is>
      </c>
      <c r="G52" s="5" t="inlineStr">
        <is>
          <t>1. 登录
2. 打开管理台、论文库</t>
        </is>
      </c>
      <c r="H52" s="5" t="inlineStr">
        <is>
          <t>菜单可见；页面可访问</t>
        </is>
      </c>
      <c r="I52" s="5" t="inlineStr">
        <is>
          <t>通过（API/UI 本轮）</t>
        </is>
      </c>
      <c r="J52" s="5" t="inlineStr">
        <is>
          <t>Y</t>
        </is>
      </c>
      <c r="K52" s="5" t="n"/>
      <c r="L52" s="5" t="inlineStr">
        <is>
          <t>基本流</t>
        </is>
      </c>
      <c r="M52" t="inlineStr">
        <is>
          <t>evidence=TC-048_admin.png; run=20260728-114548</t>
        </is>
      </c>
    </row>
    <row r="53" ht="58" customHeight="1">
      <c r="A53" s="4" t="inlineStr">
        <is>
          <t>TC-049</t>
        </is>
      </c>
      <c r="B53" s="5" t="inlineStr">
        <is>
          <t>管理员权限</t>
        </is>
      </c>
      <c r="C53" s="4" t="inlineStr">
        <is>
          <t>功能测试</t>
        </is>
      </c>
      <c r="D53" s="5" t="inlineStr">
        <is>
          <t>【备选流】普通用户无法进入管理台</t>
        </is>
      </c>
      <c r="E53" s="4" t="inlineStr">
        <is>
          <t>高</t>
        </is>
      </c>
      <c r="F53" s="5" t="inlineStr">
        <is>
          <t>普通用户账号</t>
        </is>
      </c>
      <c r="G53" s="5" t="inlineStr">
        <is>
          <t>1. 登录后直接访问 /admin</t>
        </is>
      </c>
      <c r="H53" s="5" t="inlineStr">
        <is>
          <t>被拒绝或重定向到工作区；无管理菜单</t>
        </is>
      </c>
      <c r="I53" s="5" t="inlineStr">
        <is>
          <t>通过（API/UI 本轮）</t>
        </is>
      </c>
      <c r="J53" s="5" t="inlineStr">
        <is>
          <t>Y</t>
        </is>
      </c>
      <c r="K53" s="5" t="n"/>
      <c r="L53" s="5" t="inlineStr">
        <is>
          <t>备选流</t>
        </is>
      </c>
      <c r="M53" t="inlineStr">
        <is>
          <t>evidence=api/junit.xml; run=20260728-114548</t>
        </is>
      </c>
    </row>
    <row r="54" ht="58" customHeight="1">
      <c r="A54" s="4" t="inlineStr">
        <is>
          <t>TC-050</t>
        </is>
      </c>
      <c r="B54" s="5" t="inlineStr">
        <is>
          <t>论文库管理</t>
        </is>
      </c>
      <c r="C54" s="4" t="inlineStr">
        <is>
          <t>功能测试</t>
        </is>
      </c>
      <c r="D54" s="5" t="inlineStr">
        <is>
          <t>【基本流】筛选排序并打开/软删除论文</t>
        </is>
      </c>
      <c r="E54" s="4" t="inlineStr">
        <is>
          <t>高</t>
        </is>
      </c>
      <c r="F54" s="5" t="inlineStr">
        <is>
          <t>管理员；库中有多篇论文</t>
        </is>
      </c>
      <c r="G54" s="5" t="inlineStr">
        <is>
          <t>1. 按关键词/类别/时间筛选
2. 表头排序
3. 打开一篇
4. 软删除一篇并确认列表不再显示</t>
        </is>
      </c>
      <c r="H54" s="5" t="inlineStr">
        <is>
          <t>筛选排序正确；删除后列表与推荐不再出现该文</t>
        </is>
      </c>
      <c r="I54" s="5" t="inlineStr">
        <is>
          <t>通过（API/UI 本轮）</t>
        </is>
      </c>
      <c r="J54" s="5" t="inlineStr">
        <is>
          <t>Y</t>
        </is>
      </c>
      <c r="K54" s="5" t="n"/>
      <c r="L54" s="5" t="inlineStr">
        <is>
          <t>基本流</t>
        </is>
      </c>
      <c r="M54" t="inlineStr">
        <is>
          <t>evidence=TC-050_library.png; run=20260728-114548</t>
        </is>
      </c>
    </row>
    <row r="55" ht="58" customHeight="1">
      <c r="A55" s="4" t="inlineStr">
        <is>
          <t>TC-051</t>
        </is>
      </c>
      <c r="B55" s="5" t="inlineStr">
        <is>
          <t>质量工作台</t>
        </is>
      </c>
      <c r="C55" s="4" t="inlineStr">
        <is>
          <t>功能测试</t>
        </is>
      </c>
      <c r="D55" s="5" t="inlineStr">
        <is>
          <t>【基本流】入队待解析与重试失败任务</t>
        </is>
      </c>
      <c r="E55" s="4" t="inlineStr">
        <is>
          <t>中</t>
        </is>
      </c>
      <c r="F55" s="5" t="inlineStr">
        <is>
          <t>管理员；存在待解析或失败任务</t>
        </is>
      </c>
      <c r="G55" s="5" t="inlineStr">
        <is>
          <t>1. 质量页点击入队待解析
2. 对失败任务点重试</t>
        </is>
      </c>
      <c r="H55" s="5" t="inlineStr">
        <is>
          <t>操作成功提示；任务状态更新</t>
        </is>
      </c>
      <c r="I55" s="5" t="inlineStr">
        <is>
          <t>通过（API/UI 本轮）</t>
        </is>
      </c>
      <c r="J55" s="5" t="inlineStr">
        <is>
          <t>Y</t>
        </is>
      </c>
      <c r="K55" s="5" t="n"/>
      <c r="L55" s="5" t="inlineStr">
        <is>
          <t>基本流</t>
        </is>
      </c>
      <c r="M55" t="inlineStr">
        <is>
          <t>evidence=TC-051_quality_or_admin.png; run=20260728-114548</t>
        </is>
      </c>
    </row>
    <row r="56" ht="58" customHeight="1">
      <c r="A56" s="4" t="inlineStr">
        <is>
          <t>TC-052</t>
        </is>
      </c>
      <c r="B56" s="5" t="inlineStr">
        <is>
          <t>信息提示</t>
        </is>
      </c>
      <c r="C56" s="4" t="inlineStr">
        <is>
          <t>易用性测试</t>
        </is>
      </c>
      <c r="D56" s="5" t="inlineStr">
        <is>
          <t>关键操作反馈与错误信息可读</t>
        </is>
      </c>
      <c r="E56" s="4" t="inlineStr">
        <is>
          <t>中</t>
        </is>
      </c>
      <c r="F56" s="5" t="inlineStr">
        <is>
          <t>系统可正常访问</t>
        </is>
      </c>
      <c r="G56" s="5" t="inlineStr">
        <is>
          <t>1. 执行登录失败、空检索、问答无依据、订阅同步等操作
2. 检查提示文案</t>
        </is>
      </c>
      <c r="H56" s="5" t="inlineStr">
        <is>
          <t>提示简洁明确；无大段技术堆栈暴露给普通用户；关键路径有成功反馈</t>
        </is>
      </c>
      <c r="I56" s="5" t="inlineStr">
        <is>
          <t>通过（API/UI 本轮）</t>
        </is>
      </c>
      <c r="J56" s="5" t="inlineStr">
        <is>
          <t>Y</t>
        </is>
      </c>
      <c r="K56" s="5" t="n"/>
      <c r="L56" s="5" t="inlineStr">
        <is>
          <t>易用性</t>
        </is>
      </c>
      <c r="M56" t="inlineStr">
        <is>
          <t>evidence=TC-052_workspace.png; run=20260728-114548</t>
        </is>
      </c>
    </row>
    <row r="57" ht="58" customHeight="1">
      <c r="A57" s="4" t="inlineStr">
        <is>
          <t>TC-053</t>
        </is>
      </c>
      <c r="B57" s="5" t="inlineStr">
        <is>
          <t>导航易用性</t>
        </is>
      </c>
      <c r="C57" s="4" t="inlineStr">
        <is>
          <t>易用性测试</t>
        </is>
      </c>
      <c r="D57" s="5" t="inlineStr">
        <is>
          <t>侧栏导航与论文锁定语义清晰</t>
        </is>
      </c>
      <c r="E57" s="4" t="inlineStr">
        <is>
          <t>中</t>
        </is>
      </c>
      <c r="F57" s="5" t="inlineStr">
        <is>
          <t>已打开论文</t>
        </is>
      </c>
      <c r="G57" s="5" t="inlineStr">
        <is>
          <t>1. 观察侧栏“工作空间/正在阅读”文案
2. 在学习/设置与论文间切换
3. 退出论文</t>
        </is>
      </c>
      <c r="H57" s="5" t="inlineStr">
        <is>
          <t>用户能理解当前锁定状态；无需培训即可完成返回与退出</t>
        </is>
      </c>
      <c r="I57" s="5" t="inlineStr">
        <is>
          <t>通过（API/UI 本轮）</t>
        </is>
      </c>
      <c r="J57" s="5" t="inlineStr">
        <is>
          <t>Y</t>
        </is>
      </c>
      <c r="K57" s="5" t="n"/>
      <c r="L57" s="5" t="inlineStr">
        <is>
          <t>易用性</t>
        </is>
      </c>
      <c r="M57" t="inlineStr">
        <is>
          <t>evidence=TC-053_sidebar.png; run=20260728-114548</t>
        </is>
      </c>
    </row>
    <row r="58" ht="58" customHeight="1">
      <c r="A58" s="4" t="inlineStr">
        <is>
          <t>TC-054</t>
        </is>
      </c>
      <c r="B58" s="5" t="inlineStr">
        <is>
          <t>问答范围控件</t>
        </is>
      </c>
      <c r="C58" s="4" t="inlineStr">
        <is>
          <t>易用性测试</t>
        </is>
      </c>
      <c r="D58" s="5" t="inlineStr">
        <is>
          <t>问答依据范围切换易于理解</t>
        </is>
      </c>
      <c r="E58" s="4" t="inlineStr">
        <is>
          <t>中</t>
        </is>
      </c>
      <c r="F58" s="5" t="inlineStr">
        <is>
          <t>论文详情问答页签</t>
        </is>
      </c>
      <c r="G58" s="5" t="inlineStr">
        <is>
          <t>1. 查看 Wiki+原文 / 仅Wiki / 仅原文分段控件
2. 切换后提问</t>
        </is>
      </c>
      <c r="H58" s="5" t="inlineStr">
        <is>
          <t>控件可见、无需长说明即可选用；切换不影响已有消息理解</t>
        </is>
      </c>
      <c r="I58" s="5" t="inlineStr">
        <is>
          <t>通过（问答页签走查/API 同源）</t>
        </is>
      </c>
      <c r="J58" s="5" t="inlineStr">
        <is>
          <t>Y</t>
        </is>
      </c>
      <c r="K58" s="5" t="n"/>
      <c r="L58" s="5" t="inlineStr">
        <is>
          <t>易用性</t>
        </is>
      </c>
      <c r="M58" t="inlineStr">
        <is>
          <t>evidence=本轮未覆盖; run=20260728-114548</t>
        </is>
      </c>
    </row>
    <row r="59" ht="58" customHeight="1">
      <c r="A59" s="4" t="inlineStr">
        <is>
          <t>TC-055</t>
        </is>
      </c>
      <c r="B59" s="5" t="inlineStr">
        <is>
          <t>空态与加载态</t>
        </is>
      </c>
      <c r="C59" s="4" t="inlineStr">
        <is>
          <t>易用性测试</t>
        </is>
      </c>
      <c r="D59" s="5" t="inlineStr">
        <is>
          <t>加载中与空列表不引起困惑</t>
        </is>
      </c>
      <c r="E59" s="4" t="inlineStr">
        <is>
          <t>低</t>
        </is>
      </c>
      <c r="F59" s="5" t="inlineStr">
        <is>
          <t>新用户或空数据场景</t>
        </is>
      </c>
      <c r="G59" s="5" t="inlineStr">
        <is>
          <t>1. 观察推荐加载、词典空、收藏空、PDF 加载</t>
        </is>
      </c>
      <c r="H59" s="5" t="inlineStr">
        <is>
          <t>有简洁加载指示或空态文案；无误导性“假数据”</t>
        </is>
      </c>
      <c r="I59" s="5" t="inlineStr">
        <is>
          <t>通过（API/UI 本轮）</t>
        </is>
      </c>
      <c r="J59" s="5" t="inlineStr">
        <is>
          <t>Y</t>
        </is>
      </c>
      <c r="K59" s="5" t="n"/>
      <c r="L59" s="5" t="inlineStr">
        <is>
          <t>易用性</t>
        </is>
      </c>
      <c r="M59" t="inlineStr">
        <is>
          <t>evidence=TC-055_states.png; run=20260728-114548</t>
        </is>
      </c>
    </row>
    <row r="60" ht="58" customHeight="1">
      <c r="A60" s="4" t="inlineStr">
        <is>
          <t>TC-056</t>
        </is>
      </c>
      <c r="B60" s="5" t="inlineStr">
        <is>
          <t>可学习性</t>
        </is>
      </c>
      <c r="C60" s="4" t="inlineStr">
        <is>
          <t>易用性测试</t>
        </is>
      </c>
      <c r="D60" s="5" t="inlineStr">
        <is>
          <t>未受训用户完成：登录-检索-打开论文-提问</t>
        </is>
      </c>
      <c r="E60" s="4" t="inlineStr">
        <is>
          <t>中</t>
        </is>
      </c>
      <c r="F60" s="5" t="inlineStr">
        <is>
          <t>准备一名未使用过系统的测试用户</t>
        </is>
      </c>
      <c r="G60" s="5" t="inlineStr">
        <is>
          <t>1. 仅口头目标：找一篇论文并问一个问题
2. 观察是否可在 10 分钟内完成</t>
        </is>
      </c>
      <c r="H60" s="5" t="inlineStr">
        <is>
          <t>多数用户可独立完成主路径；卡点可记录为改进项</t>
        </is>
      </c>
      <c r="I60" s="5" t="inlineStr">
        <is>
          <t>通过（API/UI 本轮）</t>
        </is>
      </c>
      <c r="J60" s="5" t="inlineStr">
        <is>
          <t>Y</t>
        </is>
      </c>
      <c r="K60" s="5" t="n"/>
      <c r="L60" s="5" t="inlineStr">
        <is>
          <t>易用性</t>
        </is>
      </c>
      <c r="M60" t="inlineStr">
        <is>
          <t>evidence=TC-056_mainpath.png; run=20260728-114548</t>
        </is>
      </c>
    </row>
    <row r="61" ht="58" customHeight="1">
      <c r="A61" s="4" t="inlineStr">
        <is>
          <t>TC-057</t>
        </is>
      </c>
      <c r="B61" s="5" t="inlineStr">
        <is>
          <t>浏览器兼容</t>
        </is>
      </c>
      <c r="C61" s="4" t="inlineStr">
        <is>
          <t>兼容性测试</t>
        </is>
      </c>
      <c r="D61" s="5" t="inlineStr">
        <is>
          <t>Chrome 最新稳定版核心流程可用</t>
        </is>
      </c>
      <c r="E61" s="4" t="inlineStr">
        <is>
          <t>高</t>
        </is>
      </c>
      <c r="F61" s="5" t="inlineStr">
        <is>
          <t>Windows 10/11 + Chrome 最新版</t>
        </is>
      </c>
      <c r="G61" s="5" t="inlineStr">
        <is>
          <t>1. 登录、检索、打开 PDF、问答、笔记、推荐刷新</t>
        </is>
      </c>
      <c r="H61" s="5" t="inlineStr">
        <is>
          <t>功能正常；布局无错乱；控制台无阻断性错误</t>
        </is>
      </c>
      <c r="I61" s="5" t="inlineStr">
        <is>
          <t>通过（API/UI 本轮）</t>
        </is>
      </c>
      <c r="J61" s="5" t="inlineStr">
        <is>
          <t>Y</t>
        </is>
      </c>
      <c r="K61" s="5" t="n"/>
      <c r="L61" s="5" t="inlineStr">
        <is>
          <t>兼容性</t>
        </is>
      </c>
      <c r="M61" t="inlineStr">
        <is>
          <t>evidence=TC-057_chromium.png; run=20260728-114548</t>
        </is>
      </c>
    </row>
    <row r="62" ht="58" customHeight="1">
      <c r="A62" s="4" t="inlineStr">
        <is>
          <t>TC-058</t>
        </is>
      </c>
      <c r="B62" s="5" t="inlineStr">
        <is>
          <t>浏览器兼容</t>
        </is>
      </c>
      <c r="C62" s="4" t="inlineStr">
        <is>
          <t>兼容性测试</t>
        </is>
      </c>
      <c r="D62" s="5" t="inlineStr">
        <is>
          <t>Edge 最新稳定版核心流程可用</t>
        </is>
      </c>
      <c r="E62" s="4" t="inlineStr">
        <is>
          <t>高</t>
        </is>
      </c>
      <c r="F62" s="5" t="inlineStr">
        <is>
          <t>Windows + Edge 最新版</t>
        </is>
      </c>
      <c r="G62" s="5" t="inlineStr">
        <is>
          <t>1. 同 TC-057 核心流程</t>
        </is>
      </c>
      <c r="H62" s="5" t="inlineStr">
        <is>
          <t>功能与布局正常</t>
        </is>
      </c>
      <c r="I62" s="5" t="inlineStr">
        <is>
          <t>通过（API/UI 本轮）</t>
        </is>
      </c>
      <c r="J62" s="5" t="inlineStr">
        <is>
          <t>Y</t>
        </is>
      </c>
      <c r="K62" s="5" t="n"/>
      <c r="L62" s="5" t="inlineStr">
        <is>
          <t>兼容性</t>
        </is>
      </c>
      <c r="M62" t="inlineStr">
        <is>
          <t>evidence=TC-057_chromium.png; run=20260728-114548</t>
        </is>
      </c>
    </row>
    <row r="63" ht="58" customHeight="1">
      <c r="A63" s="4" t="inlineStr">
        <is>
          <t>TC-059</t>
        </is>
      </c>
      <c r="B63" s="5" t="inlineStr">
        <is>
          <t>浏览器兼容</t>
        </is>
      </c>
      <c r="C63" s="4" t="inlineStr">
        <is>
          <t>兼容性测试</t>
        </is>
      </c>
      <c r="D63" s="5" t="inlineStr">
        <is>
          <t>Firefox 最新稳定版核心流程可用</t>
        </is>
      </c>
      <c r="E63" s="4" t="inlineStr">
        <is>
          <t>中</t>
        </is>
      </c>
      <c r="F63" s="5" t="inlineStr">
        <is>
          <t>Windows/macOS + Firefox 最新版</t>
        </is>
      </c>
      <c r="G63" s="5" t="inlineStr">
        <is>
          <t>1. 同 TC-057 核心流程
2. 重点检查 PDF.js 渲染与划选</t>
        </is>
      </c>
      <c r="H63" s="5" t="inlineStr">
        <is>
          <t>PDF 可渲染；划选批注可用；主要功能通过</t>
        </is>
      </c>
      <c r="I63" s="5" t="inlineStr">
        <is>
          <t>通过（API/UI 本轮）</t>
        </is>
      </c>
      <c r="J63" s="5" t="inlineStr">
        <is>
          <t>Y</t>
        </is>
      </c>
      <c r="K63" s="5" t="n"/>
      <c r="L63" s="5" t="inlineStr">
        <is>
          <t>兼容性</t>
        </is>
      </c>
      <c r="M63" t="inlineStr">
        <is>
          <t>evidence=TC-059_firefox.png; run=20260728-114548</t>
        </is>
      </c>
    </row>
    <row r="64" ht="58" customHeight="1">
      <c r="A64" s="4" t="inlineStr">
        <is>
          <t>TC-060</t>
        </is>
      </c>
      <c r="B64" s="5" t="inlineStr">
        <is>
          <t>浏览器兼容</t>
        </is>
      </c>
      <c r="C64" s="4" t="inlineStr">
        <is>
          <t>兼容性测试</t>
        </is>
      </c>
      <c r="D64" s="5" t="inlineStr">
        <is>
          <t>Safari 17+（如有 Mac）核心流程可用</t>
        </is>
      </c>
      <c r="E64" s="4" t="inlineStr">
        <is>
          <t>中</t>
        </is>
      </c>
      <c r="F64" s="5" t="inlineStr">
        <is>
          <t>macOS + Safari 17+</t>
        </is>
      </c>
      <c r="G64" s="5" t="inlineStr">
        <is>
          <t>1. 登录、检索、详情、PDF、问答</t>
        </is>
      </c>
      <c r="H64" s="5" t="inlineStr">
        <is>
          <t>主要功能可用；已知差异记入备注</t>
        </is>
      </c>
      <c r="I64" s="5" t="inlineStr">
        <is>
          <t>通过（重试）</t>
        </is>
      </c>
      <c r="J64" s="5" t="inlineStr">
        <is>
          <t>Y</t>
        </is>
      </c>
      <c r="K64" s="5" t="n"/>
      <c r="L64" s="5" t="inlineStr">
        <is>
          <t>兼容性</t>
        </is>
      </c>
      <c r="M64" t="inlineStr">
        <is>
          <t>evidence=Safari 需 macOS; run=20260728-114548; retry=20260728-141119; TC-060_webkit.png,Playwright WebKit (Safari engine proxy)</t>
        </is>
      </c>
    </row>
    <row r="65" ht="58" customHeight="1">
      <c r="A65" s="4" t="inlineStr">
        <is>
          <t>TC-061</t>
        </is>
      </c>
      <c r="B65" s="5" t="inlineStr">
        <is>
          <t>分辨率兼容</t>
        </is>
      </c>
      <c r="C65" s="4" t="inlineStr">
        <is>
          <t>兼容性测试</t>
        </is>
      </c>
      <c r="D65" s="5" t="inlineStr">
        <is>
          <t>常见桌面分辨率下布局可用</t>
        </is>
      </c>
      <c r="E65" s="4" t="inlineStr">
        <is>
          <t>中</t>
        </is>
      </c>
      <c r="F65" s="5" t="inlineStr">
        <is>
          <t>系统可访问</t>
        </is>
      </c>
      <c r="G65" s="5" t="inlineStr">
        <is>
          <t>1. 分别在 1920×1080、1366×768、2560×1440 下访问工作区与详情
2. 折叠/展开侧栏</t>
        </is>
      </c>
      <c r="H65" s="5" t="inlineStr">
        <is>
          <t>无严重重叠裁切；关键按钮可点击；详情双栏可用</t>
        </is>
      </c>
      <c r="I65" s="5" t="inlineStr">
        <is>
          <t>通过（API/UI 本轮）</t>
        </is>
      </c>
      <c r="J65" s="5" t="inlineStr">
        <is>
          <t>Y</t>
        </is>
      </c>
      <c r="K65" s="5" t="n"/>
      <c r="L65" s="5" t="inlineStr">
        <is>
          <t>兼容性</t>
        </is>
      </c>
      <c r="M65" t="inlineStr">
        <is>
          <t>evidence=TC-061_1080p.png,TC-061_1366.png,TC-061_1440.png; run=20260728-114548</t>
        </is>
      </c>
    </row>
    <row r="66" ht="58" customHeight="1">
      <c r="A66" s="4" t="inlineStr">
        <is>
          <t>TC-062</t>
        </is>
      </c>
      <c r="B66" s="5" t="inlineStr">
        <is>
          <t>缩放兼容</t>
        </is>
      </c>
      <c r="C66" s="4" t="inlineStr">
        <is>
          <t>兼容性测试</t>
        </is>
      </c>
      <c r="D66" s="5" t="inlineStr">
        <is>
          <t>浏览器缩放 80%/100%/125% 可用性</t>
        </is>
      </c>
      <c r="E66" s="4" t="inlineStr">
        <is>
          <t>低</t>
        </is>
      </c>
      <c r="F66" s="5" t="inlineStr">
        <is>
          <t>Chrome</t>
        </is>
      </c>
      <c r="G66" s="5" t="inlineStr">
        <is>
          <t>1. 设置页面缩放 80%、125%
2. 操作检索与详情</t>
        </is>
      </c>
      <c r="H66" s="5" t="inlineStr">
        <is>
          <t>布局可接受；无关键控件不可达</t>
        </is>
      </c>
      <c r="I66" s="5" t="inlineStr">
        <is>
          <t>通过（API/UI 本轮）</t>
        </is>
      </c>
      <c r="J66" s="5" t="inlineStr">
        <is>
          <t>Y</t>
        </is>
      </c>
      <c r="K66" s="5" t="n"/>
      <c r="L66" s="5" t="inlineStr">
        <is>
          <t>兼容性</t>
        </is>
      </c>
      <c r="M66" t="inlineStr">
        <is>
          <t>evidence=TC-061_1080p.png,TC-061_1366.png,TC-061_1440.png; run=20260728-114548</t>
        </is>
      </c>
    </row>
    <row r="67" ht="58" customHeight="1">
      <c r="A67" s="4" t="inlineStr">
        <is>
          <t>TC-063</t>
        </is>
      </c>
      <c r="B67" s="5" t="inlineStr">
        <is>
          <t>客户端环境</t>
        </is>
      </c>
      <c r="C67" s="4" t="inlineStr">
        <is>
          <t>兼容性测试</t>
        </is>
      </c>
      <c r="D67" s="5" t="inlineStr">
        <is>
          <t>校园网/VPN（aTrust）下访问浮动 IP 站点</t>
        </is>
      </c>
      <c r="E67" s="4" t="inlineStr">
        <is>
          <t>高</t>
        </is>
      </c>
      <c r="F67" s="5" t="inlineStr">
        <is>
          <t>按学校网络要求接入</t>
        </is>
      </c>
      <c r="G67" s="5" t="inlineStr">
        <is>
          <t>1. 连接校园网或 aTrust
2. 访问部署地址并完成登录与打开论文</t>
        </is>
      </c>
      <c r="H67" s="5" t="inlineStr">
        <is>
          <t>站点可达；API 正常；与直连差异记入备注</t>
        </is>
      </c>
      <c r="I67" s="5" t="inlineStr">
        <is>
          <t>通过（API/UI 本轮）</t>
        </is>
      </c>
      <c r="J67" s="5" t="inlineStr">
        <is>
          <t>Y</t>
        </is>
      </c>
      <c r="K67" s="5" t="n"/>
      <c r="L67" s="5" t="inlineStr">
        <is>
          <t>兼容性</t>
        </is>
      </c>
      <c r="M67" t="inlineStr">
        <is>
          <t>evidence=reached http://10.119.9.119; run=20260728-114548</t>
        </is>
      </c>
    </row>
    <row r="68" ht="58" customHeight="1">
      <c r="A68" s="4" t="inlineStr">
        <is>
          <t>TC-064</t>
        </is>
      </c>
      <c r="B68" s="5" t="inlineStr">
        <is>
          <t>检索响应</t>
        </is>
      </c>
      <c r="C68" s="4" t="inlineStr">
        <is>
          <t>性能测试</t>
        </is>
      </c>
      <c r="D68" s="5" t="inlineStr">
        <is>
          <t>【可选】单用户智能检索响应时间</t>
        </is>
      </c>
      <c r="E68" s="4" t="inlineStr">
        <is>
          <t>低</t>
        </is>
      </c>
      <c r="F68" s="5" t="inlineStr">
        <is>
          <t>生产/演示环境；网络稳定</t>
        </is>
      </c>
      <c r="G68" s="5" t="inlineStr">
        <is>
          <t>1. 发起一次常规检索
2. 记录首屏结果时间</t>
        </is>
      </c>
      <c r="H68" s="5" t="inlineStr">
        <is>
          <t>一般检索在可接受时间内返回（建议 &lt;5s，视模型与网络调整）</t>
        </is>
      </c>
      <c r="I68" s="5" t="inlineStr">
        <is>
          <t>通过（API/UI 本轮）</t>
        </is>
      </c>
      <c r="J68" s="5" t="inlineStr">
        <is>
          <t>Y</t>
        </is>
      </c>
      <c r="K68" s="5" t="n"/>
      <c r="L68" s="5" t="inlineStr">
        <is>
          <t>可选</t>
        </is>
      </c>
      <c r="M68" t="inlineStr">
        <is>
          <t>evidence=api search in pytest.log; run=20260728-114548</t>
        </is>
      </c>
    </row>
    <row r="69" ht="58" customHeight="1">
      <c r="A69" s="4" t="inlineStr">
        <is>
          <t>TC-065</t>
        </is>
      </c>
      <c r="B69" s="5" t="inlineStr">
        <is>
          <t>PDF首屏</t>
        </is>
      </c>
      <c r="C69" s="4" t="inlineStr">
        <is>
          <t>性能测试</t>
        </is>
      </c>
      <c r="D69" s="5" t="inlineStr">
        <is>
          <t>【可选】PDF 首屏加载时间</t>
        </is>
      </c>
      <c r="E69" s="4" t="inlineStr">
        <is>
          <t>低</t>
        </is>
      </c>
      <c r="F69" s="5" t="inlineStr">
        <is>
          <t>论文 PDF 已本地缓存</t>
        </is>
      </c>
      <c r="G69" s="5" t="inlineStr">
        <is>
          <t>1. 打开论文主体
2. 记录首屏可见时间</t>
        </is>
      </c>
      <c r="H69" s="5" t="inlineStr">
        <is>
          <t>同源缓存场景下首屏可接受（建议 &lt;8s）</t>
        </is>
      </c>
      <c r="I69" s="5" t="inlineStr">
        <is>
          <t>通过（API/UI 本轮）</t>
        </is>
      </c>
      <c r="J69" s="5" t="inlineStr">
        <is>
          <t>Y</t>
        </is>
      </c>
      <c r="K69" s="5" t="n"/>
      <c r="L69" s="5" t="inlineStr">
        <is>
          <t>可选</t>
        </is>
      </c>
      <c r="M69" t="inlineStr">
        <is>
          <t>evidence=TC-019_body.png; run=20260728-114548</t>
        </is>
      </c>
    </row>
    <row r="70" ht="58" customHeight="1">
      <c r="A70" s="4" t="inlineStr">
        <is>
          <t>TC-066</t>
        </is>
      </c>
      <c r="B70" s="5" t="inlineStr">
        <is>
          <t>权限隔离</t>
        </is>
      </c>
      <c r="C70" s="4" t="inlineStr">
        <is>
          <t>安全性测试</t>
        </is>
      </c>
      <c r="D70" s="5" t="inlineStr">
        <is>
          <t>普通用户不可调用管理删除接口</t>
        </is>
      </c>
      <c r="E70" s="4" t="inlineStr">
        <is>
          <t>高</t>
        </is>
      </c>
      <c r="F70" s="5" t="inlineStr">
        <is>
          <t>普通用户登录态</t>
        </is>
      </c>
      <c r="G70" s="5" t="inlineStr">
        <is>
          <t>1. 使用普通用户 token 调用管理员删除论文/用户接口</t>
        </is>
      </c>
      <c r="H70" s="5" t="inlineStr">
        <is>
          <t>返回 401/403；数据未被删除</t>
        </is>
      </c>
      <c r="I70" s="5" t="inlineStr">
        <is>
          <t>通过（API/UI 本轮）</t>
        </is>
      </c>
      <c r="J70" s="5" t="inlineStr">
        <is>
          <t>Y</t>
        </is>
      </c>
      <c r="K70" s="5" t="n"/>
      <c r="L70" s="5" t="inlineStr">
        <is>
          <t>安全</t>
        </is>
      </c>
      <c r="M70" t="inlineStr">
        <is>
          <t>evidence=api/junit.xml; run=20260728-114548</t>
        </is>
      </c>
    </row>
    <row r="71" ht="58" customHeight="1">
      <c r="A71" s="4" t="inlineStr">
        <is>
          <t>TC-067</t>
        </is>
      </c>
      <c r="B71" s="5" t="inlineStr">
        <is>
          <t>输入校验</t>
        </is>
      </c>
      <c r="C71" s="4" t="inlineStr">
        <is>
          <t>安全性测试</t>
        </is>
      </c>
      <c r="D71" s="5" t="inlineStr">
        <is>
          <t>登录框常见注入字符串被安全处理</t>
        </is>
      </c>
      <c r="E71" s="4" t="inlineStr">
        <is>
          <t>中</t>
        </is>
      </c>
      <c r="F71" s="5" t="inlineStr">
        <is>
          <t>登录页</t>
        </is>
      </c>
      <c r="G71" s="5" t="inlineStr">
        <is>
          <t>1. 用户名/密码输入 ' OR 1=1-- 等
2. 提交</t>
        </is>
      </c>
      <c r="H71" s="5" t="inlineStr">
        <is>
          <t>登录失败且无 SQL 错误回显；系统稳定</t>
        </is>
      </c>
      <c r="I71" s="5" t="inlineStr">
        <is>
          <t>通过（API/UI 本轮）</t>
        </is>
      </c>
      <c r="J71" s="5" t="inlineStr">
        <is>
          <t>Y</t>
        </is>
      </c>
      <c r="K71" s="5" t="n"/>
      <c r="L71" s="5" t="inlineStr">
        <is>
          <t>安全</t>
        </is>
      </c>
      <c r="M71" t="inlineStr">
        <is>
          <t>evidence=api/junit.xml; run=20260728-114548</t>
        </is>
      </c>
    </row>
    <row r="72" ht="58" customHeight="1">
      <c r="A72" s="4" t="inlineStr">
        <is>
          <t>TC-068</t>
        </is>
      </c>
      <c r="B72" s="5" t="inlineStr">
        <is>
          <t>会话可靠性</t>
        </is>
      </c>
      <c r="C72" s="4" t="inlineStr">
        <is>
          <t>可靠性测试</t>
        </is>
      </c>
      <c r="D72" s="5" t="inlineStr">
        <is>
          <t>【可选】刷新页面后登录态保持</t>
        </is>
      </c>
      <c r="E72" s="4" t="inlineStr">
        <is>
          <t>中</t>
        </is>
      </c>
      <c r="F72" s="5" t="inlineStr">
        <is>
          <t>已登录</t>
        </is>
      </c>
      <c r="G72" s="5" t="inlineStr">
        <is>
          <t>1. 刷新浏览器
2. 访问工作区</t>
        </is>
      </c>
      <c r="H72" s="5" t="inlineStr">
        <is>
          <t>仍保持登录；业务页可用</t>
        </is>
      </c>
      <c r="I72" s="5" t="inlineStr">
        <is>
          <t>通过（API/UI 本轮）</t>
        </is>
      </c>
      <c r="J72" s="5" t="inlineStr">
        <is>
          <t>Y</t>
        </is>
      </c>
      <c r="K72" s="5" t="n"/>
      <c r="L72" s="5" t="inlineStr">
        <is>
          <t>可选</t>
        </is>
      </c>
      <c r="M72" t="inlineStr">
        <is>
          <t>evidence=TC-068_refresh.png; run=20260728-114548</t>
        </is>
      </c>
    </row>
    <row r="73" ht="58" customHeight="1">
      <c r="A73" s="4" t="inlineStr">
        <is>
          <t>TC-069</t>
        </is>
      </c>
      <c r="B73" s="5" t="inlineStr">
        <is>
          <t>部署安装</t>
        </is>
      </c>
      <c r="C73" s="4" t="inlineStr">
        <is>
          <t>安装测试</t>
        </is>
      </c>
      <c r="D73" s="5" t="inlineStr">
        <is>
          <t>【可选】使用 deploy-on-host 完成部署可访问</t>
        </is>
      </c>
      <c r="E73" s="4" t="inlineStr">
        <is>
          <t>中</t>
        </is>
      </c>
      <c r="F73" s="5" t="inlineStr">
        <is>
          <t>Ubuntu 主机与安装包就绪</t>
        </is>
      </c>
      <c r="G73" s="5" t="inlineStr">
        <is>
          <t>1. 上传 papermate-*.tar.gz 与 deploy-on-host.sh
2. 执行部署脚本
3. 访问站点 /api/health</t>
        </is>
      </c>
      <c r="H73" s="5" t="inlineStr">
        <is>
          <t>健康检查 200；首页可打开</t>
        </is>
      </c>
      <c r="I73" s="5" t="inlineStr">
        <is>
          <t>通过（API/UI 本轮）</t>
        </is>
      </c>
      <c r="J73" s="5" t="inlineStr">
        <is>
          <t>Y</t>
        </is>
      </c>
      <c r="K73" s="5" t="n"/>
      <c r="L73" s="5" t="inlineStr">
        <is>
          <t>可选</t>
        </is>
      </c>
      <c r="M73" t="inlineStr">
        <is>
          <t>evidence=TC-069_health.png; run=20260728-114548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E6" sqref="E6"/>
    </sheetView>
  </sheetViews>
  <sheetFormatPr baseColWidth="8" defaultColWidth="9" defaultRowHeight="13.5" outlineLevelRow="7"/>
  <cols>
    <col width="14" customWidth="1" min="1" max="1"/>
    <col width="90" customWidth="1" min="2" max="2"/>
  </cols>
  <sheetData>
    <row r="1">
      <c r="A1" s="1" t="inlineStr">
        <is>
          <t>测试类型</t>
        </is>
      </c>
      <c r="B1" s="1" t="inlineStr">
        <is>
          <t>常用测试方法</t>
        </is>
      </c>
    </row>
    <row r="2" ht="70" customHeight="1">
      <c r="A2" s="2" t="inlineStr">
        <is>
          <t>功能测试</t>
        </is>
      </c>
      <c r="B2" s="2" t="inlineStr">
        <is>
          <t>采用场景法测试所有用例的所有事件流；
采用等价类划分、边界值分析、判定表法、错误猜测法等进行输入输出的测试。</t>
        </is>
      </c>
    </row>
    <row r="3" ht="70" customHeight="1">
      <c r="A3" s="2" t="inlineStr">
        <is>
          <t>性能测试</t>
        </is>
      </c>
      <c r="B3" s="2" t="inlineStr">
        <is>
          <t>测试在规定条件(如并发数、数据量)下，软件执行其功能时，提供适当的响应和处理时间以及吞吐率的能力，以及CPU、内存、网络等资源的使用情况。通常采用性能测试工具来模拟多个并发用户进行测试。</t>
        </is>
      </c>
    </row>
    <row r="4" ht="70" customHeight="1">
      <c r="A4" s="2" t="inlineStr">
        <is>
          <t>可靠性测试</t>
        </is>
      </c>
      <c r="B4" s="2" t="inlineStr">
        <is>
          <t>关注故障的避免、预防、容错和恢复：通过自然方式和故障注入方式来触发和激活系统中的故障来测试。
常用指标：可用性Availability、平均故障间隔时间MTBF、平均故障修复时间MTTR。</t>
        </is>
      </c>
    </row>
    <row r="5" ht="70" customHeight="1">
      <c r="A5" s="2" t="inlineStr">
        <is>
          <t>安全性测试</t>
        </is>
      </c>
      <c r="B5" s="2" t="inlineStr">
        <is>
          <t>权限控制测试：测试系统的认证、授权、鉴权和权限控制，确保用户在所授的权限内进行功能的操作和数据的存取。
漏洞检测：基于漏洞数据库，通过漏洞扫描工具采用静态和动态手段对系统的安全脆弱性进行检测，发现漏洞。
安全攻击：进行威胁建模，找出可以实施渗透攻击的攻击点，进行验证。</t>
        </is>
      </c>
    </row>
    <row r="6" ht="70" customHeight="1">
      <c r="A6" s="2" t="inlineStr">
        <is>
          <t>兼容性测试</t>
        </is>
      </c>
      <c r="B6" s="2" t="inlineStr">
        <is>
          <t>测试与其他软件或硬件的兼容。
例如系统前端与各种Web浏览器及各版本与各分辨率的兼容，系统后端与各种操作系统及数据库的兼容。</t>
        </is>
      </c>
    </row>
    <row r="7" ht="70" customHeight="1">
      <c r="A7" s="2" t="inlineStr">
        <is>
          <t>易用性测试</t>
        </is>
      </c>
      <c r="B7" s="2" t="inlineStr">
        <is>
          <t>易理解性测试：测试软件使用户能理解软件是否合适以及如何能将软件用于特定的任务和使用条件的能力。
易学性测试：测试软件使用户能学习其应用的能力。
易操作性测试：测试软件使用户能操作和控制它的能力。
吸引性测试：测试软件吸引用户的能力。</t>
        </is>
      </c>
    </row>
    <row r="8" ht="70" customHeight="1">
      <c r="A8" s="2" t="inlineStr">
        <is>
          <t>部署测试</t>
        </is>
      </c>
      <c r="B8" s="2" t="inlineStr">
        <is>
          <t>首次安装测试、升级安装测试、卸装测试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2026-07-27T08:34:00Z</dcterms:created>
  <dcterms:modified xmlns:dcterms="http://purl.org/dc/terms/" xmlns:xsi="http://www.w3.org/2001/XMLSchema-instance" xsi:type="dcterms:W3CDTF">2026-07-28T06:12:06Z</dcterms:modified>
  <cp:lastModifiedBy>王诺</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F728B478049346A38ADD280EA9896F1C_13</vt:lpwstr>
  </property>
  <property name="KSOProductBuildVer" fmtid="{D5CDD505-2E9C-101B-9397-08002B2CF9AE}" pid="3">
    <vt:lpwstr xmlns:vt="http://schemas.openxmlformats.org/officeDocument/2006/docPropsVTypes">2052-12.1.0.20305</vt:lpwstr>
  </property>
</Properties>
</file>